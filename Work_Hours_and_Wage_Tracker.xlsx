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_Log" sheetId="2" state="visible" r:id="rId2"/>
    <sheet name="Weekly_Summary" sheetId="3" state="visible" r:id="rId3"/>
    <sheet name="Monthly_Summary" sheetId="4" state="visible" r:id="rId4"/>
    <sheet name="Yearly_Summary" sheetId="5" state="visible" r:id="rId5"/>
    <sheet name="Job_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kr&quot;"/>
    <numFmt numFmtId="165" formatCode="0.00 &quot;hrs&quot;"/>
    <numFmt numFmtId="166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  <color rgb="000F172A"/>
      <sz val="11"/>
    </font>
    <font>
      <name val="Calibri"/>
      <color rgb="00334155"/>
      <sz val="11"/>
    </font>
    <font>
      <name val="Calibri"/>
      <b val="1"/>
      <color rgb="000F172A"/>
      <sz val="18"/>
    </font>
    <font>
      <name val="Calibri"/>
      <b val="1"/>
      <color rgb="0064748B"/>
      <sz val="9"/>
    </font>
    <font>
      <name val="Calibri"/>
      <b val="1"/>
      <color rgb="000F2942"/>
      <sz val="18"/>
    </font>
    <font>
      <name val="Calibri"/>
      <b val="1"/>
      <color rgb="001E293B"/>
      <sz val="13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</fills>
  <borders count="1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6" borderId="2" applyAlignment="1" pivotButton="0" quotePrefix="0" xfId="0">
      <alignment horizontal="center" vertical="center"/>
    </xf>
    <xf numFmtId="0" fontId="0" fillId="6" borderId="2" pivotButton="0" quotePrefix="0" xfId="0"/>
    <xf numFmtId="164" fontId="8" fillId="6" borderId="2" applyAlignment="1" pivotButton="0" quotePrefix="0" xfId="0">
      <alignment horizontal="center" vertical="center"/>
    </xf>
    <xf numFmtId="165" fontId="8" fillId="6" borderId="2" applyAlignment="1" pivotButton="0" quotePrefix="0" xfId="0">
      <alignment horizontal="center" vertical="center"/>
    </xf>
    <xf numFmtId="3" fontId="8" fillId="6" borderId="2" applyAlignment="1" pivotButton="0" quotePrefix="0" xfId="0">
      <alignment horizontal="center" vertical="center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/>
    </xf>
    <xf numFmtId="0" fontId="5" fillId="0" borderId="2" pivotButton="0" quotePrefix="0" xfId="0"/>
    <xf numFmtId="0" fontId="0" fillId="0" borderId="6" pivotButton="0" quotePrefix="0" xfId="0"/>
    <xf numFmtId="0" fontId="0" fillId="0" borderId="7" pivotButton="0" quotePrefix="0" xfId="0"/>
    <xf numFmtId="0" fontId="4" fillId="0" borderId="2" pivotButton="0" quotePrefix="0" xfId="0"/>
    <xf numFmtId="164" fontId="5" fillId="0" borderId="2" applyAlignment="1" pivotButton="0" quotePrefix="0" xfId="0">
      <alignment horizontal="right"/>
    </xf>
    <xf numFmtId="10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0" fontId="4" fillId="5" borderId="3" pivotButton="0" quotePrefix="0" xfId="0"/>
    <xf numFmtId="165" fontId="4" fillId="5" borderId="3" pivotButton="0" quotePrefix="0" xfId="0"/>
    <xf numFmtId="164" fontId="4" fillId="5" borderId="3" pivotButton="0" quotePrefix="0" xfId="0"/>
    <xf numFmtId="10" fontId="4" fillId="5" borderId="3" pivotButton="0" quotePrefix="0" xfId="0"/>
    <xf numFmtId="0" fontId="10" fillId="7" borderId="1" applyAlignment="1" pivotButton="0" quotePrefix="0" xfId="0">
      <alignment horizontal="center" vertical="center"/>
    </xf>
    <xf numFmtId="166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  <xf numFmtId="166" fontId="5" fillId="4" borderId="2" applyAlignment="1" pivotButton="0" quotePrefix="0" xfId="0">
      <alignment horizontal="center"/>
    </xf>
    <xf numFmtId="0" fontId="5" fillId="4" borderId="2" pivotButton="0" quotePrefix="0" xfId="0"/>
    <xf numFmtId="165" fontId="5" fillId="4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/>
    </xf>
    <xf numFmtId="0" fontId="5" fillId="3" borderId="2" applyAlignment="1" pivotButton="0" quotePrefix="0" xfId="0">
      <alignment horizontal="center"/>
    </xf>
    <xf numFmtId="3" fontId="5" fillId="3" borderId="2" applyAlignment="1" pivotButton="0" quotePrefix="0" xfId="0">
      <alignment horizontal="right"/>
    </xf>
    <xf numFmtId="10" fontId="5" fillId="3" borderId="2" applyAlignment="1" pivotButton="0" quotePrefix="0" xfId="0">
      <alignment horizontal="right"/>
    </xf>
    <xf numFmtId="3" fontId="5" fillId="3" borderId="2" applyAlignment="1" pivotButton="0" quotePrefix="0" xfId="0">
      <alignment horizontal="center"/>
    </xf>
    <xf numFmtId="0" fontId="5" fillId="4" borderId="2" applyAlignment="1" pivotButton="0" quotePrefix="0" xfId="0">
      <alignment horizontal="left"/>
    </xf>
    <xf numFmtId="0" fontId="5" fillId="4" borderId="2" applyAlignment="1" pivotButton="0" quotePrefix="0" xfId="0">
      <alignment horizontal="center"/>
    </xf>
    <xf numFmtId="3" fontId="5" fillId="4" borderId="2" applyAlignment="1" pivotButton="0" quotePrefix="0" xfId="0">
      <alignment horizontal="right"/>
    </xf>
    <xf numFmtId="10" fontId="5" fillId="4" borderId="2" applyAlignment="1" pivotButton="0" quotePrefix="0" xfId="0">
      <alignment horizontal="right"/>
    </xf>
    <xf numFmtId="3" fontId="5" fillId="4" borderId="2" applyAlignment="1" pivotButton="0" quotePrefix="0" xfId="0">
      <alignment horizontal="center"/>
    </xf>
    <xf numFmtId="166" fontId="5" fillId="0" borderId="2" applyAlignment="1" pivotButton="0" quotePrefix="0" xfId="0">
      <alignment horizontal="center"/>
    </xf>
    <xf numFmtId="3" fontId="5" fillId="0" borderId="2" applyAlignment="1" pivotButton="0" quotePrefix="0" xfId="0">
      <alignment horizontal="right"/>
    </xf>
    <xf numFmtId="164" fontId="5" fillId="0" borderId="2" pivotButton="0" quotePrefix="0" xfId="0"/>
    <xf numFmtId="10" fontId="5" fillId="0" borderId="2" pivotButton="0" quotePrefix="0" xfId="0"/>
    <xf numFmtId="165" fontId="5" fillId="0" borderId="2" pivotButton="0" quotePrefix="0" xfId="0"/>
    <xf numFmtId="3" fontId="5" fillId="0" borderId="2" pivotButton="0" quotePrefix="0" xfId="0"/>
    <xf numFmtId="3" fontId="4" fillId="5" borderId="3" pivotButton="0" quotePrefix="0" xfId="0"/>
    <xf numFmtId="0" fontId="3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0" fillId="0" borderId="5" pivotButton="0" quotePrefix="0" xfId="0"/>
    <xf numFmtId="165" fontId="8" fillId="6" borderId="2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5" fillId="0" borderId="2" applyAlignment="1" pivotButton="0" quotePrefix="0" xfId="0">
      <alignment horizontal="right"/>
    </xf>
    <xf numFmtId="165" fontId="4" fillId="5" borderId="3" pivotButton="0" quotePrefix="0" xfId="0"/>
    <xf numFmtId="166" fontId="5" fillId="3" borderId="2" applyAlignment="1" pivotButton="0" quotePrefix="0" xfId="0">
      <alignment horizontal="center"/>
    </xf>
    <xf numFmtId="165" fontId="5" fillId="3" borderId="2" applyAlignment="1" pivotButton="0" quotePrefix="0" xfId="0">
      <alignment horizontal="right"/>
    </xf>
    <xf numFmtId="166" fontId="5" fillId="4" borderId="2" applyAlignment="1" pivotButton="0" quotePrefix="0" xfId="0">
      <alignment horizontal="center"/>
    </xf>
    <xf numFmtId="165" fontId="5" fillId="4" borderId="2" applyAlignment="1" pivotButton="0" quotePrefix="0" xfId="0">
      <alignment horizontal="right"/>
    </xf>
    <xf numFmtId="166" fontId="5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center"/>
    </xf>
    <xf numFmtId="165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16" customWidth="1" min="4" max="4"/>
    <col width="20" customWidth="1" min="5" max="5"/>
    <col width="20" customWidth="1" min="6" max="6"/>
    <col width="20" customWidth="1" min="7" max="7"/>
    <col width="18" customWidth="1" min="8" max="8"/>
    <col width="14" customWidth="1" min="9" max="9"/>
    <col width="35" customWidth="1" min="10" max="10"/>
    <col width="23" customWidth="1" min="11" max="11"/>
    <col width="14" customWidth="1" min="12" max="12"/>
  </cols>
  <sheetData>
    <row r="1">
      <c r="A1" s="1" t="inlineStr">
        <is>
          <t>💼 WORK HOURS &amp; WAGE DASHBOARD</t>
        </is>
      </c>
    </row>
    <row r="2">
      <c r="A2" s="2" t="inlineStr">
        <is>
          <t>Real-Time Key Performance Indicators &amp; Multi-Job Earnings Summary (Currency: SEK kr)</t>
        </is>
      </c>
    </row>
    <row r="4">
      <c r="B4" s="3" t="inlineStr">
        <is>
          <t>TOTAL NET TAKE-HOME</t>
        </is>
      </c>
      <c r="C4" s="13" t="n"/>
      <c r="E4" s="3" t="inlineStr">
        <is>
          <t>TOTAL GROSS EARNINGS</t>
        </is>
      </c>
      <c r="F4" s="13" t="n"/>
      <c r="H4" s="3" t="inlineStr">
        <is>
          <t>TOTAL HOURS WORKED</t>
        </is>
      </c>
      <c r="I4" s="13" t="n"/>
      <c r="K4" s="3" t="inlineStr">
        <is>
          <t>TOTAL SHIFTS WORKED</t>
        </is>
      </c>
      <c r="L4" s="13" t="n"/>
    </row>
    <row r="5">
      <c r="B5" s="5">
        <f>SUM(Daily_Log!K5:K500)</f>
        <v/>
      </c>
      <c r="C5" s="52" t="n"/>
      <c r="E5" s="5">
        <f>SUM(Daily_Log!I5:I500)</f>
        <v/>
      </c>
      <c r="F5" s="52" t="n"/>
      <c r="H5" s="53">
        <f>SUM(Daily_Log!H5:H500)</f>
        <v/>
      </c>
      <c r="I5" s="52" t="n"/>
      <c r="K5" s="7">
        <f>COUNTA(Daily_Log!A5:A500)</f>
        <v/>
      </c>
      <c r="L5" s="52" t="n"/>
    </row>
    <row r="6">
      <c r="B6" s="54" t="n"/>
      <c r="C6" s="55" t="n"/>
      <c r="E6" s="54" t="n"/>
      <c r="F6" s="55" t="n"/>
      <c r="H6" s="54" t="n"/>
      <c r="I6" s="55" t="n"/>
      <c r="K6" s="54" t="n"/>
      <c r="L6" s="55" t="n"/>
    </row>
    <row r="8">
      <c r="B8" s="8" t="inlineStr">
        <is>
          <t>📊 Multi-Job Earnings &amp; Hours Breakdown</t>
        </is>
      </c>
      <c r="I8" s="8" t="inlineStr">
        <is>
          <t>📱 Apple Calendar Sync Guide</t>
        </is>
      </c>
    </row>
    <row r="10">
      <c r="B10" s="9" t="inlineStr">
        <is>
          <t>Job / Employer</t>
        </is>
      </c>
      <c r="C10" s="9" t="inlineStr">
        <is>
          <t>Configured Rate</t>
        </is>
      </c>
      <c r="D10" s="9" t="inlineStr">
        <is>
          <t>Tax Rate</t>
        </is>
      </c>
      <c r="E10" s="9" t="inlineStr">
        <is>
          <t>Total Hours Worked</t>
        </is>
      </c>
      <c r="F10" s="9" t="inlineStr">
        <is>
          <t>Gross Earnings (kr)</t>
        </is>
      </c>
      <c r="G10" s="9" t="inlineStr">
        <is>
          <t>Net Take-Home (kr)</t>
        </is>
      </c>
      <c r="H10" s="9" t="inlineStr">
        <is>
          <t>Share of Net Income</t>
        </is>
      </c>
      <c r="I10" s="10" t="inlineStr">
        <is>
          <t>Step 1</t>
        </is>
      </c>
      <c r="J10" s="11" t="inlineStr">
        <is>
          <t>Create events on Apple Calendar with titles like 'Agra Tandoori' or 'Grand Hotel'.</t>
        </is>
      </c>
      <c r="K10" s="12" t="n"/>
      <c r="L10" s="13" t="n"/>
    </row>
    <row r="11">
      <c r="B11" s="14" t="inlineStr">
        <is>
          <t>Agra Tandoori</t>
        </is>
      </c>
      <c r="C11" s="15">
        <f>VLOOKUP(B11,Job_Settings!$A$5:$C$15,2,FALSE)</f>
        <v/>
      </c>
      <c r="D11" s="16">
        <f>VLOOKUP(B11,Job_Settings!$A$5:$C$15,3,FALSE)</f>
        <v/>
      </c>
      <c r="E11" s="56">
        <f>SUMIFS(Daily_Log!$H$5:$H$500, Daily_Log!$B$5:$B$500, B11)</f>
        <v/>
      </c>
      <c r="F11" s="15">
        <f>SUMIFS(Daily_Log!$I$5:$I$500, Daily_Log!$B$5:$B$500, B11)</f>
        <v/>
      </c>
      <c r="G11" s="15">
        <f>SUMIFS(Daily_Log!$K$5:$K$500, Daily_Log!$B$5:$B$500, B11)</f>
        <v/>
      </c>
      <c r="H11" s="16">
        <f>IF($G$15&gt;0, G11/$G$15, 0)</f>
        <v/>
      </c>
      <c r="I11" s="10" t="inlineStr">
        <is>
          <t>Step 2</t>
        </is>
      </c>
      <c r="J11" s="11" t="inlineStr">
        <is>
          <t>Export calendar (.ics file) or copy Webcal URL from iCal.</t>
        </is>
      </c>
      <c r="K11" s="12" t="n"/>
      <c r="L11" s="13" t="n"/>
    </row>
    <row r="12">
      <c r="B12" s="14" t="inlineStr">
        <is>
          <t>Grand Hotel</t>
        </is>
      </c>
      <c r="C12" s="15">
        <f>VLOOKUP(B12,Job_Settings!$A$5:$C$15,2,FALSE)</f>
        <v/>
      </c>
      <c r="D12" s="16">
        <f>VLOOKUP(B12,Job_Settings!$A$5:$C$15,3,FALSE)</f>
        <v/>
      </c>
      <c r="E12" s="56">
        <f>SUMIFS(Daily_Log!$H$5:$H$500, Daily_Log!$B$5:$B$500, B12)</f>
        <v/>
      </c>
      <c r="F12" s="15">
        <f>SUMIFS(Daily_Log!$I$5:$I$500, Daily_Log!$B$5:$B$500, B12)</f>
        <v/>
      </c>
      <c r="G12" s="15">
        <f>SUMIFS(Daily_Log!$K$5:$K$500, Daily_Log!$B$5:$B$500, B12)</f>
        <v/>
      </c>
      <c r="H12" s="16">
        <f>IF($G$15&gt;0, G12/$G$15, 0)</f>
        <v/>
      </c>
      <c r="I12" s="10" t="inlineStr">
        <is>
          <t>Step 3</t>
        </is>
      </c>
      <c r="J12" s="11" t="inlineStr">
        <is>
          <t>Run the included `sync_apple_calendar.py` script to import shifts automatically.</t>
        </is>
      </c>
      <c r="K12" s="12" t="n"/>
      <c r="L12" s="13" t="n"/>
    </row>
    <row r="13">
      <c r="B13" s="14" t="inlineStr">
        <is>
          <t>Backup Job</t>
        </is>
      </c>
      <c r="C13" s="15">
        <f>VLOOKUP(B13,Job_Settings!$A$5:$C$15,2,FALSE)</f>
        <v/>
      </c>
      <c r="D13" s="16">
        <f>VLOOKUP(B13,Job_Settings!$A$5:$C$15,3,FALSE)</f>
        <v/>
      </c>
      <c r="E13" s="56">
        <f>SUMIFS(Daily_Log!$H$5:$H$500, Daily_Log!$B$5:$B$500, B13)</f>
        <v/>
      </c>
      <c r="F13" s="15">
        <f>SUMIFS(Daily_Log!$I$5:$I$500, Daily_Log!$B$5:$B$500, B13)</f>
        <v/>
      </c>
      <c r="G13" s="15">
        <f>SUMIFS(Daily_Log!$K$5:$K$500, Daily_Log!$B$5:$B$500, B13)</f>
        <v/>
      </c>
      <c r="H13" s="16">
        <f>IF($G$15&gt;0, G13/$G$15, 0)</f>
        <v/>
      </c>
      <c r="I13" s="10" t="inlineStr">
        <is>
          <t>Step 4</t>
        </is>
      </c>
      <c r="J13" s="11" t="inlineStr">
        <is>
          <t>Alternatively, use Apple Shortcuts app to send shift logs directly to Excel!</t>
        </is>
      </c>
      <c r="K13" s="12" t="n"/>
      <c r="L13" s="13" t="n"/>
    </row>
    <row r="14">
      <c r="B14" s="14" t="inlineStr">
        <is>
          <t>Other / Special</t>
        </is>
      </c>
      <c r="C14" s="15">
        <f>VLOOKUP(B14,Job_Settings!$A$5:$C$15,2,FALSE)</f>
        <v/>
      </c>
      <c r="D14" s="16">
        <f>VLOOKUP(B14,Job_Settings!$A$5:$C$15,3,FALSE)</f>
        <v/>
      </c>
      <c r="E14" s="56">
        <f>SUMIFS(Daily_Log!$H$5:$H$500, Daily_Log!$B$5:$B$500, B14)</f>
        <v/>
      </c>
      <c r="F14" s="15">
        <f>SUMIFS(Daily_Log!$I$5:$I$500, Daily_Log!$B$5:$B$500, B14)</f>
        <v/>
      </c>
      <c r="G14" s="15">
        <f>SUMIFS(Daily_Log!$K$5:$K$500, Daily_Log!$B$5:$B$500, B14)</f>
        <v/>
      </c>
      <c r="H14" s="16">
        <f>IF($G$15&gt;0, G14/$G$15, 0)</f>
        <v/>
      </c>
    </row>
    <row r="15">
      <c r="B15" s="18" t="inlineStr">
        <is>
          <t>Total All Jobs</t>
        </is>
      </c>
      <c r="C15" s="18" t="n"/>
      <c r="D15" s="18" t="n"/>
      <c r="E15" s="57">
        <f>SUM(E11:E14)</f>
        <v/>
      </c>
      <c r="F15" s="20">
        <f>SUM(F11:F14)</f>
        <v/>
      </c>
      <c r="G15" s="20">
        <f>SUM(G11:G14)</f>
        <v/>
      </c>
      <c r="H15" s="21">
        <f>SUM(H11:H14)</f>
        <v/>
      </c>
    </row>
    <row r="18">
      <c r="B18" s="8" t="inlineStr">
        <is>
          <t>📅 Recent Shifts Quick View</t>
        </is>
      </c>
    </row>
    <row r="20">
      <c r="B20" s="22" t="inlineStr">
        <is>
          <t>Date</t>
        </is>
      </c>
      <c r="C20" s="22" t="inlineStr">
        <is>
          <t>Job / Employer</t>
        </is>
      </c>
      <c r="D20" s="22" t="inlineStr">
        <is>
          <t>Hours</t>
        </is>
      </c>
      <c r="E20" s="22" t="inlineStr">
        <is>
          <t>Gross (kr)</t>
        </is>
      </c>
      <c r="F20" s="22" t="inlineStr">
        <is>
          <t>Net (kr)</t>
        </is>
      </c>
      <c r="G20" s="22" t="inlineStr">
        <is>
          <t>Notes</t>
        </is>
      </c>
    </row>
    <row r="21">
      <c r="B21" s="58">
        <f>Daily_Log!A5</f>
        <v/>
      </c>
      <c r="C21" s="24">
        <f>Daily_Log!B5</f>
        <v/>
      </c>
      <c r="D21" s="59">
        <f>Daily_Log!H5</f>
        <v/>
      </c>
      <c r="E21" s="26">
        <f>Daily_Log!I5</f>
        <v/>
      </c>
      <c r="F21" s="26">
        <f>Daily_Log!K5</f>
        <v/>
      </c>
      <c r="G21" s="24">
        <f>Daily_Log!O5</f>
        <v/>
      </c>
    </row>
    <row r="22">
      <c r="B22" s="60">
        <f>Daily_Log!A6</f>
        <v/>
      </c>
      <c r="C22" s="28">
        <f>Daily_Log!B6</f>
        <v/>
      </c>
      <c r="D22" s="61">
        <f>Daily_Log!H6</f>
        <v/>
      </c>
      <c r="E22" s="30">
        <f>Daily_Log!I6</f>
        <v/>
      </c>
      <c r="F22" s="30">
        <f>Daily_Log!K6</f>
        <v/>
      </c>
      <c r="G22" s="28">
        <f>Daily_Log!O6</f>
        <v/>
      </c>
    </row>
    <row r="23">
      <c r="B23" s="58">
        <f>Daily_Log!A7</f>
        <v/>
      </c>
      <c r="C23" s="24">
        <f>Daily_Log!B7</f>
        <v/>
      </c>
      <c r="D23" s="59">
        <f>Daily_Log!H7</f>
        <v/>
      </c>
      <c r="E23" s="26">
        <f>Daily_Log!I7</f>
        <v/>
      </c>
      <c r="F23" s="26">
        <f>Daily_Log!K7</f>
        <v/>
      </c>
      <c r="G23" s="24">
        <f>Daily_Log!O7</f>
        <v/>
      </c>
    </row>
    <row r="24">
      <c r="B24" s="60">
        <f>Daily_Log!A8</f>
        <v/>
      </c>
      <c r="C24" s="28">
        <f>Daily_Log!B8</f>
        <v/>
      </c>
      <c r="D24" s="61">
        <f>Daily_Log!H8</f>
        <v/>
      </c>
      <c r="E24" s="30">
        <f>Daily_Log!I8</f>
        <v/>
      </c>
      <c r="F24" s="30">
        <f>Daily_Log!K8</f>
        <v/>
      </c>
      <c r="G24" s="28">
        <f>Daily_Log!O8</f>
        <v/>
      </c>
    </row>
    <row r="25">
      <c r="B25" s="58">
        <f>Daily_Log!A9</f>
        <v/>
      </c>
      <c r="C25" s="24">
        <f>Daily_Log!B9</f>
        <v/>
      </c>
      <c r="D25" s="59">
        <f>Daily_Log!H9</f>
        <v/>
      </c>
      <c r="E25" s="26">
        <f>Daily_Log!I9</f>
        <v/>
      </c>
      <c r="F25" s="26">
        <f>Daily_Log!K9</f>
        <v/>
      </c>
      <c r="G25" s="24">
        <f>Daily_Log!O9</f>
        <v/>
      </c>
    </row>
    <row r="26">
      <c r="B26" s="60">
        <f>Daily_Log!A10</f>
        <v/>
      </c>
      <c r="C26" s="28">
        <f>Daily_Log!B10</f>
        <v/>
      </c>
      <c r="D26" s="61">
        <f>Daily_Log!H10</f>
        <v/>
      </c>
      <c r="E26" s="30">
        <f>Daily_Log!I10</f>
        <v/>
      </c>
      <c r="F26" s="30">
        <f>Daily_Log!K10</f>
        <v/>
      </c>
      <c r="G26" s="28">
        <f>Daily_Log!O10</f>
        <v/>
      </c>
    </row>
    <row r="27">
      <c r="B27" s="58">
        <f>Daily_Log!A11</f>
        <v/>
      </c>
      <c r="C27" s="24">
        <f>Daily_Log!B11</f>
        <v/>
      </c>
      <c r="D27" s="59">
        <f>Daily_Log!H11</f>
        <v/>
      </c>
      <c r="E27" s="26">
        <f>Daily_Log!I11</f>
        <v/>
      </c>
      <c r="F27" s="26">
        <f>Daily_Log!K11</f>
        <v/>
      </c>
      <c r="G27" s="24">
        <f>Daily_Log!O11</f>
        <v/>
      </c>
    </row>
    <row r="28">
      <c r="B28" s="60">
        <f>Daily_Log!A12</f>
        <v/>
      </c>
      <c r="C28" s="28">
        <f>Daily_Log!B12</f>
        <v/>
      </c>
      <c r="D28" s="61">
        <f>Daily_Log!H12</f>
        <v/>
      </c>
      <c r="E28" s="30">
        <f>Daily_Log!I12</f>
        <v/>
      </c>
      <c r="F28" s="30">
        <f>Daily_Log!K12</f>
        <v/>
      </c>
      <c r="G28" s="28">
        <f>Daily_Log!O12</f>
        <v/>
      </c>
    </row>
    <row r="29">
      <c r="B29" s="58">
        <f>Daily_Log!A13</f>
        <v/>
      </c>
      <c r="C29" s="24">
        <f>Daily_Log!B13</f>
        <v/>
      </c>
      <c r="D29" s="59">
        <f>Daily_Log!H13</f>
        <v/>
      </c>
      <c r="E29" s="26">
        <f>Daily_Log!I13</f>
        <v/>
      </c>
      <c r="F29" s="26">
        <f>Daily_Log!K13</f>
        <v/>
      </c>
      <c r="G29" s="24">
        <f>Daily_Log!O13</f>
        <v/>
      </c>
    </row>
    <row r="30">
      <c r="B30" s="60">
        <f>Daily_Log!A14</f>
        <v/>
      </c>
      <c r="C30" s="28">
        <f>Daily_Log!B14</f>
        <v/>
      </c>
      <c r="D30" s="61">
        <f>Daily_Log!H14</f>
        <v/>
      </c>
      <c r="E30" s="30">
        <f>Daily_Log!I14</f>
        <v/>
      </c>
      <c r="F30" s="30">
        <f>Daily_Log!K14</f>
        <v/>
      </c>
      <c r="G30" s="28">
        <f>Daily_Log!O14</f>
        <v/>
      </c>
    </row>
  </sheetData>
  <mergeCells count="12">
    <mergeCell ref="E4:F4"/>
    <mergeCell ref="J12:L12"/>
    <mergeCell ref="J10:L10"/>
    <mergeCell ref="J13:L13"/>
    <mergeCell ref="B5:C6"/>
    <mergeCell ref="E5:F6"/>
    <mergeCell ref="K5:L6"/>
    <mergeCell ref="H4:I4"/>
    <mergeCell ref="H5:I6"/>
    <mergeCell ref="K4:L4"/>
    <mergeCell ref="B4:C4"/>
    <mergeCell ref="J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8" customWidth="1" min="5" max="5"/>
    <col width="20" customWidth="1" min="6" max="6"/>
    <col width="16" customWidth="1" min="7" max="7"/>
    <col width="18" customWidth="1" min="8" max="8"/>
    <col width="18" customWidth="1" min="9" max="9"/>
    <col width="18" customWidth="1" min="10" max="10"/>
    <col width="18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>
      <c r="A1" s="31" t="inlineStr">
        <is>
          <t>Daily Work &amp; Wage Log</t>
        </is>
      </c>
    </row>
    <row r="2">
      <c r="A2" s="2" t="inlineStr">
        <is>
          <t>Select your employer, enter shift start/end times and unpaid breaks. Rates &amp; earnings calculate automatically!</t>
        </is>
      </c>
    </row>
    <row r="4" ht="28" customHeight="1">
      <c r="A4" s="32" t="inlineStr">
        <is>
          <t>Date</t>
        </is>
      </c>
      <c r="B4" s="32" t="inlineStr">
        <is>
          <t>Job / Employer</t>
        </is>
      </c>
      <c r="C4" s="32" t="inlineStr">
        <is>
          <t>Start Time</t>
        </is>
      </c>
      <c r="D4" s="32" t="inlineStr">
        <is>
          <t>End Time</t>
        </is>
      </c>
      <c r="E4" s="32" t="inlineStr">
        <is>
          <t>Unpaid Break (mins)</t>
        </is>
      </c>
      <c r="F4" s="32" t="inlineStr">
        <is>
          <t>Hourly Rate (kr)</t>
        </is>
      </c>
      <c r="G4" s="32" t="inlineStr">
        <is>
          <t>Tax Rate (%)</t>
        </is>
      </c>
      <c r="H4" s="32" t="inlineStr">
        <is>
          <t>Total Paid Hours</t>
        </is>
      </c>
      <c r="I4" s="32" t="inlineStr">
        <is>
          <t>Gross Earnings (kr)</t>
        </is>
      </c>
      <c r="J4" s="32" t="inlineStr">
        <is>
          <t>Tax Amount (kr)</t>
        </is>
      </c>
      <c r="K4" s="32" t="inlineStr">
        <is>
          <t>Net Earnings (kr)</t>
        </is>
      </c>
      <c r="L4" s="32" t="inlineStr">
        <is>
          <t>Week #</t>
        </is>
      </c>
      <c r="M4" s="32" t="inlineStr">
        <is>
          <t>Year</t>
        </is>
      </c>
      <c r="N4" s="32" t="inlineStr">
        <is>
          <t>Month</t>
        </is>
      </c>
      <c r="O4" s="32" t="inlineStr">
        <is>
          <t>Shift Notes</t>
        </is>
      </c>
    </row>
    <row r="5">
      <c r="A5" s="58" t="inlineStr">
        <is>
          <t>2025-12-01</t>
        </is>
      </c>
      <c r="B5" s="33" t="inlineStr">
        <is>
          <t>Agra Tandoori</t>
        </is>
      </c>
      <c r="C5" s="34" t="inlineStr">
        <is>
          <t>11:00</t>
        </is>
      </c>
      <c r="D5" s="34" t="inlineStr">
        <is>
          <t>19:00</t>
        </is>
      </c>
      <c r="E5" s="35" t="n">
        <v>30</v>
      </c>
      <c r="F5" s="26">
        <f>IF(B5="","",VLOOKUP(B5,Job_Settings!$A$5:$C$15,2,FALSE))</f>
        <v/>
      </c>
      <c r="G5" s="36">
        <f>IF(B5="","",VLOOKUP(B5,Job_Settings!$A$5:$C$15,3,FALSE))</f>
        <v/>
      </c>
      <c r="H5" s="59">
        <f>IF(OR(C5="",D5=""),"",ROUND((IF(ISNUMBER(D5),D5,TIMEVALUE(D5))-IF(ISNUMBER(C5),C5,TIMEVALUE(C5)))*24-(E5/60), 2))</f>
        <v/>
      </c>
      <c r="I5" s="26">
        <f>IF(OR(H5="",F5=""),"",ROUND(H5*F5, 2))</f>
        <v/>
      </c>
      <c r="J5" s="26">
        <f>IF(OR(I5="",G5=""),"",ROUND(I5*G5, 2))</f>
        <v/>
      </c>
      <c r="K5" s="26">
        <f>IF(OR(I5="",J5=""),"",ROUND(I5-J5, 2))</f>
        <v/>
      </c>
      <c r="L5" s="37">
        <f>IF(A5="","",ISOWEEKNUM(DATEVALUE(TEXT(A5,"yyyy-mm-dd"))))</f>
        <v/>
      </c>
      <c r="M5" s="37">
        <f>IF(A5="","",YEAR(DATEVALUE(TEXT(A5,"yyyy-mm-dd"))))</f>
        <v/>
      </c>
      <c r="N5" s="34">
        <f>IF(A5="","",TEXT(DATEVALUE(TEXT(A5,"yyyy-mm-dd")),"yyyy-mm"))</f>
        <v/>
      </c>
      <c r="O5" s="24" t="inlineStr">
        <is>
          <t>Lunch shift</t>
        </is>
      </c>
    </row>
    <row r="6">
      <c r="A6" s="60" t="inlineStr">
        <is>
          <t>2025-12-02</t>
        </is>
      </c>
      <c r="B6" s="38" t="inlineStr">
        <is>
          <t>Agra Tandoori</t>
        </is>
      </c>
      <c r="C6" s="39" t="inlineStr">
        <is>
          <t>16:00</t>
        </is>
      </c>
      <c r="D6" s="39" t="inlineStr">
        <is>
          <t>23:00</t>
        </is>
      </c>
      <c r="E6" s="40" t="n">
        <v>30</v>
      </c>
      <c r="F6" s="30">
        <f>IF(B6="","",VLOOKUP(B6,Job_Settings!$A$5:$C$15,2,FALSE))</f>
        <v/>
      </c>
      <c r="G6" s="41">
        <f>IF(B6="","",VLOOKUP(B6,Job_Settings!$A$5:$C$15,3,FALSE))</f>
        <v/>
      </c>
      <c r="H6" s="61">
        <f>IF(OR(C6="",D6=""),"",ROUND((IF(ISNUMBER(D6),D6,TIMEVALUE(D6))-IF(ISNUMBER(C6),C6,TIMEVALUE(C6)))*24-(E6/60), 2))</f>
        <v/>
      </c>
      <c r="I6" s="30">
        <f>IF(OR(H6="",F6=""),"",ROUND(H6*F6, 2))</f>
        <v/>
      </c>
      <c r="J6" s="30">
        <f>IF(OR(I6="",G6=""),"",ROUND(I6*G6, 2))</f>
        <v/>
      </c>
      <c r="K6" s="30">
        <f>IF(OR(I6="",J6=""),"",ROUND(I6-J6, 2))</f>
        <v/>
      </c>
      <c r="L6" s="42">
        <f>IF(A6="","",ISOWEEKNUM(DATEVALUE(TEXT(A6,"yyyy-mm-dd"))))</f>
        <v/>
      </c>
      <c r="M6" s="42">
        <f>IF(A6="","",YEAR(DATEVALUE(TEXT(A6,"yyyy-mm-dd"))))</f>
        <v/>
      </c>
      <c r="N6" s="39">
        <f>IF(A6="","",TEXT(DATEVALUE(TEXT(A6,"yyyy-mm-dd")),"yyyy-mm"))</f>
        <v/>
      </c>
      <c r="O6" s="28" t="inlineStr">
        <is>
          <t>Dinner shift</t>
        </is>
      </c>
    </row>
    <row r="7">
      <c r="A7" s="58" t="inlineStr">
        <is>
          <t>2025-12-04</t>
        </is>
      </c>
      <c r="B7" s="33" t="inlineStr">
        <is>
          <t>Grand Hotel</t>
        </is>
      </c>
      <c r="C7" s="34" t="inlineStr">
        <is>
          <t>07:00</t>
        </is>
      </c>
      <c r="D7" s="34" t="inlineStr">
        <is>
          <t>15:30</t>
        </is>
      </c>
      <c r="E7" s="35" t="n">
        <v>30</v>
      </c>
      <c r="F7" s="26">
        <f>IF(B7="","",VLOOKUP(B7,Job_Settings!$A$5:$C$15,2,FALSE))</f>
        <v/>
      </c>
      <c r="G7" s="36">
        <f>IF(B7="","",VLOOKUP(B7,Job_Settings!$A$5:$C$15,3,FALSE))</f>
        <v/>
      </c>
      <c r="H7" s="59">
        <f>IF(OR(C7="",D7=""),"",ROUND((IF(ISNUMBER(D7),D7,TIMEVALUE(D7))-IF(ISNUMBER(C7),C7,TIMEVALUE(C7)))*24-(E7/60), 2))</f>
        <v/>
      </c>
      <c r="I7" s="26">
        <f>IF(OR(H7="",F7=""),"",ROUND(H7*F7, 2))</f>
        <v/>
      </c>
      <c r="J7" s="26">
        <f>IF(OR(I7="",G7=""),"",ROUND(I7*G7, 2))</f>
        <v/>
      </c>
      <c r="K7" s="26">
        <f>IF(OR(I7="",J7=""),"",ROUND(I7-J7, 2))</f>
        <v/>
      </c>
      <c r="L7" s="37">
        <f>IF(A7="","",ISOWEEKNUM(DATEVALUE(TEXT(A7,"yyyy-mm-dd"))))</f>
        <v/>
      </c>
      <c r="M7" s="37">
        <f>IF(A7="","",YEAR(DATEVALUE(TEXT(A7,"yyyy-mm-dd"))))</f>
        <v/>
      </c>
      <c r="N7" s="34">
        <f>IF(A7="","",TEXT(DATEVALUE(TEXT(A7,"yyyy-mm-dd")),"yyyy-mm"))</f>
        <v/>
      </c>
      <c r="O7" s="24" t="inlineStr">
        <is>
          <t>Breakfast &amp; Lunch service</t>
        </is>
      </c>
    </row>
    <row r="8">
      <c r="A8" s="60" t="inlineStr">
        <is>
          <t>2025-12-05</t>
        </is>
      </c>
      <c r="B8" s="38" t="inlineStr">
        <is>
          <t>Grand Hotel</t>
        </is>
      </c>
      <c r="C8" s="39" t="inlineStr">
        <is>
          <t>15:00</t>
        </is>
      </c>
      <c r="D8" s="39" t="inlineStr">
        <is>
          <t>23:30</t>
        </is>
      </c>
      <c r="E8" s="40" t="n">
        <v>45</v>
      </c>
      <c r="F8" s="30">
        <f>IF(B8="","",VLOOKUP(B8,Job_Settings!$A$5:$C$15,2,FALSE))</f>
        <v/>
      </c>
      <c r="G8" s="41">
        <f>IF(B8="","",VLOOKUP(B8,Job_Settings!$A$5:$C$15,3,FALSE))</f>
        <v/>
      </c>
      <c r="H8" s="61">
        <f>IF(OR(C8="",D8=""),"",ROUND((IF(ISNUMBER(D8),D8,TIMEVALUE(D8))-IF(ISNUMBER(C8),C8,TIMEVALUE(C8)))*24-(E8/60), 2))</f>
        <v/>
      </c>
      <c r="I8" s="30">
        <f>IF(OR(H8="",F8=""),"",ROUND(H8*F8, 2))</f>
        <v/>
      </c>
      <c r="J8" s="30">
        <f>IF(OR(I8="",G8=""),"",ROUND(I8*G8, 2))</f>
        <v/>
      </c>
      <c r="K8" s="30">
        <f>IF(OR(I8="",J8=""),"",ROUND(I8-J8, 2))</f>
        <v/>
      </c>
      <c r="L8" s="42">
        <f>IF(A8="","",ISOWEEKNUM(DATEVALUE(TEXT(A8,"yyyy-mm-dd"))))</f>
        <v/>
      </c>
      <c r="M8" s="42">
        <f>IF(A8="","",YEAR(DATEVALUE(TEXT(A8,"yyyy-mm-dd"))))</f>
        <v/>
      </c>
      <c r="N8" s="39">
        <f>IF(A8="","",TEXT(DATEVALUE(TEXT(A8,"yyyy-mm-dd")),"yyyy-mm"))</f>
        <v/>
      </c>
      <c r="O8" s="28" t="inlineStr">
        <is>
          <t>Banquet evening shift</t>
        </is>
      </c>
    </row>
    <row r="9">
      <c r="A9" s="58" t="inlineStr">
        <is>
          <t>2025-12-06</t>
        </is>
      </c>
      <c r="B9" s="33" t="inlineStr">
        <is>
          <t>Agra Tandoori</t>
        </is>
      </c>
      <c r="C9" s="34" t="inlineStr">
        <is>
          <t>12:00</t>
        </is>
      </c>
      <c r="D9" s="34" t="inlineStr">
        <is>
          <t>22:00</t>
        </is>
      </c>
      <c r="E9" s="35" t="n">
        <v>60</v>
      </c>
      <c r="F9" s="26">
        <f>IF(B9="","",VLOOKUP(B9,Job_Settings!$A$5:$C$15,2,FALSE))</f>
        <v/>
      </c>
      <c r="G9" s="36">
        <f>IF(B9="","",VLOOKUP(B9,Job_Settings!$A$5:$C$15,3,FALSE))</f>
        <v/>
      </c>
      <c r="H9" s="59">
        <f>IF(OR(C9="",D9=""),"",ROUND((IF(ISNUMBER(D9),D9,TIMEVALUE(D9))-IF(ISNUMBER(C9),C9,TIMEVALUE(C9)))*24-(E9/60), 2))</f>
        <v/>
      </c>
      <c r="I9" s="26">
        <f>IF(OR(H9="",F9=""),"",ROUND(H9*F9, 2))</f>
        <v/>
      </c>
      <c r="J9" s="26">
        <f>IF(OR(I9="",G9=""),"",ROUND(I9*G9, 2))</f>
        <v/>
      </c>
      <c r="K9" s="26">
        <f>IF(OR(I9="",J9=""),"",ROUND(I9-J9, 2))</f>
        <v/>
      </c>
      <c r="L9" s="37">
        <f>IF(A9="","",ISOWEEKNUM(DATEVALUE(TEXT(A9,"yyyy-mm-dd"))))</f>
        <v/>
      </c>
      <c r="M9" s="37">
        <f>IF(A9="","",YEAR(DATEVALUE(TEXT(A9,"yyyy-mm-dd"))))</f>
        <v/>
      </c>
      <c r="N9" s="34">
        <f>IF(A9="","",TEXT(DATEVALUE(TEXT(A9,"yyyy-mm-dd")),"yyyy-mm"))</f>
        <v/>
      </c>
      <c r="O9" s="24" t="inlineStr">
        <is>
          <t>Weekend full day</t>
        </is>
      </c>
    </row>
    <row r="10">
      <c r="A10" s="60" t="inlineStr">
        <is>
          <t>2025-12-08</t>
        </is>
      </c>
      <c r="B10" s="38" t="inlineStr">
        <is>
          <t>Backup Job</t>
        </is>
      </c>
      <c r="C10" s="39" t="inlineStr">
        <is>
          <t>09:00</t>
        </is>
      </c>
      <c r="D10" s="39" t="inlineStr">
        <is>
          <t>17:00</t>
        </is>
      </c>
      <c r="E10" s="40" t="n">
        <v>30</v>
      </c>
      <c r="F10" s="30">
        <f>IF(B10="","",VLOOKUP(B10,Job_Settings!$A$5:$C$15,2,FALSE))</f>
        <v/>
      </c>
      <c r="G10" s="41">
        <f>IF(B10="","",VLOOKUP(B10,Job_Settings!$A$5:$C$15,3,FALSE))</f>
        <v/>
      </c>
      <c r="H10" s="61">
        <f>IF(OR(C10="",D10=""),"",ROUND((IF(ISNUMBER(D10),D10,TIMEVALUE(D10))-IF(ISNUMBER(C10),C10,TIMEVALUE(C10)))*24-(E10/60), 2))</f>
        <v/>
      </c>
      <c r="I10" s="30">
        <f>IF(OR(H10="",F10=""),"",ROUND(H10*F10, 2))</f>
        <v/>
      </c>
      <c r="J10" s="30">
        <f>IF(OR(I10="",G10=""),"",ROUND(I10*G10, 2))</f>
        <v/>
      </c>
      <c r="K10" s="30">
        <f>IF(OR(I10="",J10=""),"",ROUND(I10-J10, 2))</f>
        <v/>
      </c>
      <c r="L10" s="42">
        <f>IF(A10="","",ISOWEEKNUM(DATEVALUE(TEXT(A10,"yyyy-mm-dd"))))</f>
        <v/>
      </c>
      <c r="M10" s="42">
        <f>IF(A10="","",YEAR(DATEVALUE(TEXT(A10,"yyyy-mm-dd"))))</f>
        <v/>
      </c>
      <c r="N10" s="39">
        <f>IF(A10="","",TEXT(DATEVALUE(TEXT(A10,"yyyy-mm-dd")),"yyyy-mm"))</f>
        <v/>
      </c>
      <c r="O10" s="28" t="inlineStr">
        <is>
          <t>Covering shift</t>
        </is>
      </c>
    </row>
    <row r="11">
      <c r="A11" s="58" t="inlineStr">
        <is>
          <t>2025-12-10</t>
        </is>
      </c>
      <c r="B11" s="33" t="inlineStr">
        <is>
          <t>Grand Hotel</t>
        </is>
      </c>
      <c r="C11" s="34" t="inlineStr">
        <is>
          <t>08:00</t>
        </is>
      </c>
      <c r="D11" s="34" t="inlineStr">
        <is>
          <t>16:30</t>
        </is>
      </c>
      <c r="E11" s="35" t="n">
        <v>30</v>
      </c>
      <c r="F11" s="26">
        <f>IF(B11="","",VLOOKUP(B11,Job_Settings!$A$5:$C$15,2,FALSE))</f>
        <v/>
      </c>
      <c r="G11" s="36">
        <f>IF(B11="","",VLOOKUP(B11,Job_Settings!$A$5:$C$15,3,FALSE))</f>
        <v/>
      </c>
      <c r="H11" s="59">
        <f>IF(OR(C11="",D11=""),"",ROUND((IF(ISNUMBER(D11),D11,TIMEVALUE(D11))-IF(ISNUMBER(C11),C11,TIMEVALUE(C11)))*24-(E11/60), 2))</f>
        <v/>
      </c>
      <c r="I11" s="26">
        <f>IF(OR(H11="",F11=""),"",ROUND(H11*F11, 2))</f>
        <v/>
      </c>
      <c r="J11" s="26">
        <f>IF(OR(I11="",G11=""),"",ROUND(I11*G11, 2))</f>
        <v/>
      </c>
      <c r="K11" s="26">
        <f>IF(OR(I11="",J11=""),"",ROUND(I11-J11, 2))</f>
        <v/>
      </c>
      <c r="L11" s="37">
        <f>IF(A11="","",ISOWEEKNUM(DATEVALUE(TEXT(A11,"yyyy-mm-dd"))))</f>
        <v/>
      </c>
      <c r="M11" s="37">
        <f>IF(A11="","",YEAR(DATEVALUE(TEXT(A11,"yyyy-mm-dd"))))</f>
        <v/>
      </c>
      <c r="N11" s="34">
        <f>IF(A11="","",TEXT(DATEVALUE(TEXT(A11,"yyyy-mm-dd")),"yyyy-mm"))</f>
        <v/>
      </c>
      <c r="O11" s="24" t="inlineStr">
        <is>
          <t>Morning shift</t>
        </is>
      </c>
    </row>
    <row r="12">
      <c r="A12" s="60" t="inlineStr">
        <is>
          <t>2025-12-12</t>
        </is>
      </c>
      <c r="B12" s="38" t="inlineStr">
        <is>
          <t>Agra Tandoori</t>
        </is>
      </c>
      <c r="C12" s="39" t="inlineStr">
        <is>
          <t>16:00</t>
        </is>
      </c>
      <c r="D12" s="39" t="inlineStr">
        <is>
          <t>23:30</t>
        </is>
      </c>
      <c r="E12" s="40" t="n">
        <v>30</v>
      </c>
      <c r="F12" s="30">
        <f>IF(B12="","",VLOOKUP(B12,Job_Settings!$A$5:$C$15,2,FALSE))</f>
        <v/>
      </c>
      <c r="G12" s="41">
        <f>IF(B12="","",VLOOKUP(B12,Job_Settings!$A$5:$C$15,3,FALSE))</f>
        <v/>
      </c>
      <c r="H12" s="61">
        <f>IF(OR(C12="",D12=""),"",ROUND((IF(ISNUMBER(D12),D12,TIMEVALUE(D12))-IF(ISNUMBER(C12),C12,TIMEVALUE(C12)))*24-(E12/60), 2))</f>
        <v/>
      </c>
      <c r="I12" s="30">
        <f>IF(OR(H12="",F12=""),"",ROUND(H12*F12, 2))</f>
        <v/>
      </c>
      <c r="J12" s="30">
        <f>IF(OR(I12="",G12=""),"",ROUND(I12*G12, 2))</f>
        <v/>
      </c>
      <c r="K12" s="30">
        <f>IF(OR(I12="",J12=""),"",ROUND(I12-J12, 2))</f>
        <v/>
      </c>
      <c r="L12" s="42">
        <f>IF(A12="","",ISOWEEKNUM(DATEVALUE(TEXT(A12,"yyyy-mm-dd"))))</f>
        <v/>
      </c>
      <c r="M12" s="42">
        <f>IF(A12="","",YEAR(DATEVALUE(TEXT(A12,"yyyy-mm-dd"))))</f>
        <v/>
      </c>
      <c r="N12" s="39">
        <f>IF(A12="","",TEXT(DATEVALUE(TEXT(A12,"yyyy-mm-dd")),"yyyy-mm"))</f>
        <v/>
      </c>
      <c r="O12" s="28" t="inlineStr">
        <is>
          <t>Friday night service</t>
        </is>
      </c>
    </row>
    <row r="13">
      <c r="A13" s="58" t="inlineStr">
        <is>
          <t>2025-12-15</t>
        </is>
      </c>
      <c r="B13" s="33" t="inlineStr">
        <is>
          <t>Agra Tandoori</t>
        </is>
      </c>
      <c r="C13" s="34" t="inlineStr">
        <is>
          <t>11:00</t>
        </is>
      </c>
      <c r="D13" s="34" t="inlineStr">
        <is>
          <t>19:00</t>
        </is>
      </c>
      <c r="E13" s="35" t="n">
        <v>30</v>
      </c>
      <c r="F13" s="26">
        <f>IF(B13="","",VLOOKUP(B13,Job_Settings!$A$5:$C$15,2,FALSE))</f>
        <v/>
      </c>
      <c r="G13" s="36">
        <f>IF(B13="","",VLOOKUP(B13,Job_Settings!$A$5:$C$15,3,FALSE))</f>
        <v/>
      </c>
      <c r="H13" s="59">
        <f>IF(OR(C13="",D13=""),"",ROUND((IF(ISNUMBER(D13),D13,TIMEVALUE(D13))-IF(ISNUMBER(C13),C13,TIMEVALUE(C13)))*24-(E13/60), 2))</f>
        <v/>
      </c>
      <c r="I13" s="26">
        <f>IF(OR(H13="",F13=""),"",ROUND(H13*F13, 2))</f>
        <v/>
      </c>
      <c r="J13" s="26">
        <f>IF(OR(I13="",G13=""),"",ROUND(I13*G13, 2))</f>
        <v/>
      </c>
      <c r="K13" s="26">
        <f>IF(OR(I13="",J13=""),"",ROUND(I13-J13, 2))</f>
        <v/>
      </c>
      <c r="L13" s="37">
        <f>IF(A13="","",ISOWEEKNUM(DATEVALUE(TEXT(A13,"yyyy-mm-dd"))))</f>
        <v/>
      </c>
      <c r="M13" s="37">
        <f>IF(A13="","",YEAR(DATEVALUE(TEXT(A13,"yyyy-mm-dd"))))</f>
        <v/>
      </c>
      <c r="N13" s="34">
        <f>IF(A13="","",TEXT(DATEVALUE(TEXT(A13,"yyyy-mm-dd")),"yyyy-mm"))</f>
        <v/>
      </c>
      <c r="O13" s="24" t="inlineStr">
        <is>
          <t>Mid-week shift</t>
        </is>
      </c>
    </row>
    <row r="14">
      <c r="A14" s="60" t="inlineStr">
        <is>
          <t>2025-12-18</t>
        </is>
      </c>
      <c r="B14" s="38" t="inlineStr">
        <is>
          <t>Grand Hotel</t>
        </is>
      </c>
      <c r="C14" s="39" t="inlineStr">
        <is>
          <t>14:00</t>
        </is>
      </c>
      <c r="D14" s="39" t="inlineStr">
        <is>
          <t>22:00</t>
        </is>
      </c>
      <c r="E14" s="40" t="n">
        <v>30</v>
      </c>
      <c r="F14" s="30">
        <f>IF(B14="","",VLOOKUP(B14,Job_Settings!$A$5:$C$15,2,FALSE))</f>
        <v/>
      </c>
      <c r="G14" s="41">
        <f>IF(B14="","",VLOOKUP(B14,Job_Settings!$A$5:$C$15,3,FALSE))</f>
        <v/>
      </c>
      <c r="H14" s="61">
        <f>IF(OR(C14="",D14=""),"",ROUND((IF(ISNUMBER(D14),D14,TIMEVALUE(D14))-IF(ISNUMBER(C14),C14,TIMEVALUE(C14)))*24-(E14/60), 2))</f>
        <v/>
      </c>
      <c r="I14" s="30">
        <f>IF(OR(H14="",F14=""),"",ROUND(H14*F14, 2))</f>
        <v/>
      </c>
      <c r="J14" s="30">
        <f>IF(OR(I14="",G14=""),"",ROUND(I14*G14, 2))</f>
        <v/>
      </c>
      <c r="K14" s="30">
        <f>IF(OR(I14="",J14=""),"",ROUND(I14-J14, 2))</f>
        <v/>
      </c>
      <c r="L14" s="42">
        <f>IF(A14="","",ISOWEEKNUM(DATEVALUE(TEXT(A14,"yyyy-mm-dd"))))</f>
        <v/>
      </c>
      <c r="M14" s="42">
        <f>IF(A14="","",YEAR(DATEVALUE(TEXT(A14,"yyyy-mm-dd"))))</f>
        <v/>
      </c>
      <c r="N14" s="39">
        <f>IF(A14="","",TEXT(DATEVALUE(TEXT(A14,"yyyy-mm-dd")),"yyyy-mm"))</f>
        <v/>
      </c>
      <c r="O14" s="28" t="inlineStr">
        <is>
          <t>Catering event</t>
        </is>
      </c>
    </row>
    <row r="15">
      <c r="A15" s="58" t="inlineStr">
        <is>
          <t>2025-12-20</t>
        </is>
      </c>
      <c r="B15" s="33" t="inlineStr">
        <is>
          <t>Agra Tandoori</t>
        </is>
      </c>
      <c r="C15" s="34" t="inlineStr">
        <is>
          <t>12:00</t>
        </is>
      </c>
      <c r="D15" s="34" t="inlineStr">
        <is>
          <t>22:30</t>
        </is>
      </c>
      <c r="E15" s="35" t="n">
        <v>60</v>
      </c>
      <c r="F15" s="26">
        <f>IF(B15="","",VLOOKUP(B15,Job_Settings!$A$5:$C$15,2,FALSE))</f>
        <v/>
      </c>
      <c r="G15" s="36">
        <f>IF(B15="","",VLOOKUP(B15,Job_Settings!$A$5:$C$15,3,FALSE))</f>
        <v/>
      </c>
      <c r="H15" s="59">
        <f>IF(OR(C15="",D15=""),"",ROUND((IF(ISNUMBER(D15),D15,TIMEVALUE(D15))-IF(ISNUMBER(C15),C15,TIMEVALUE(C15)))*24-(E15/60), 2))</f>
        <v/>
      </c>
      <c r="I15" s="26">
        <f>IF(OR(H15="",F15=""),"",ROUND(H15*F15, 2))</f>
        <v/>
      </c>
      <c r="J15" s="26">
        <f>IF(OR(I15="",G15=""),"",ROUND(I15*G15, 2))</f>
        <v/>
      </c>
      <c r="K15" s="26">
        <f>IF(OR(I15="",J15=""),"",ROUND(I15-J15, 2))</f>
        <v/>
      </c>
      <c r="L15" s="37">
        <f>IF(A15="","",ISOWEEKNUM(DATEVALUE(TEXT(A15,"yyyy-mm-dd"))))</f>
        <v/>
      </c>
      <c r="M15" s="37">
        <f>IF(A15="","",YEAR(DATEVALUE(TEXT(A15,"yyyy-mm-dd"))))</f>
        <v/>
      </c>
      <c r="N15" s="34">
        <f>IF(A15="","",TEXT(DATEVALUE(TEXT(A15,"yyyy-mm-dd")),"yyyy-mm"))</f>
        <v/>
      </c>
      <c r="O15" s="24" t="inlineStr">
        <is>
          <t>Pre-Christmas rush</t>
        </is>
      </c>
    </row>
    <row r="16">
      <c r="A16" s="60" t="inlineStr">
        <is>
          <t>2025-12-22</t>
        </is>
      </c>
      <c r="B16" s="38" t="inlineStr">
        <is>
          <t>Grand Hotel</t>
        </is>
      </c>
      <c r="C16" s="39" t="inlineStr">
        <is>
          <t>07:00</t>
        </is>
      </c>
      <c r="D16" s="39" t="inlineStr">
        <is>
          <t>15:00</t>
        </is>
      </c>
      <c r="E16" s="40" t="n">
        <v>30</v>
      </c>
      <c r="F16" s="30">
        <f>IF(B16="","",VLOOKUP(B16,Job_Settings!$A$5:$C$15,2,FALSE))</f>
        <v/>
      </c>
      <c r="G16" s="41">
        <f>IF(B16="","",VLOOKUP(B16,Job_Settings!$A$5:$C$15,3,FALSE))</f>
        <v/>
      </c>
      <c r="H16" s="61">
        <f>IF(OR(C16="",D16=""),"",ROUND((IF(ISNUMBER(D16),D16,TIMEVALUE(D16))-IF(ISNUMBER(C16),C16,TIMEVALUE(C16)))*24-(E16/60), 2))</f>
        <v/>
      </c>
      <c r="I16" s="30">
        <f>IF(OR(H16="",F16=""),"",ROUND(H16*F16, 2))</f>
        <v/>
      </c>
      <c r="J16" s="30">
        <f>IF(OR(I16="",G16=""),"",ROUND(I16*G16, 2))</f>
        <v/>
      </c>
      <c r="K16" s="30">
        <f>IF(OR(I16="",J16=""),"",ROUND(I16-J16, 2))</f>
        <v/>
      </c>
      <c r="L16" s="42">
        <f>IF(A16="","",ISOWEEKNUM(DATEVALUE(TEXT(A16,"yyyy-mm-dd"))))</f>
        <v/>
      </c>
      <c r="M16" s="42">
        <f>IF(A16="","",YEAR(DATEVALUE(TEXT(A16,"yyyy-mm-dd"))))</f>
        <v/>
      </c>
      <c r="N16" s="39">
        <f>IF(A16="","",TEXT(DATEVALUE(TEXT(A16,"yyyy-mm-dd")),"yyyy-mm"))</f>
        <v/>
      </c>
      <c r="O16" s="28" t="inlineStr">
        <is>
          <t>Morning prep</t>
        </is>
      </c>
    </row>
    <row r="17">
      <c r="A17" s="58" t="inlineStr">
        <is>
          <t>2025-12-27</t>
        </is>
      </c>
      <c r="B17" s="33" t="inlineStr">
        <is>
          <t>Agra Tandoori</t>
        </is>
      </c>
      <c r="C17" s="34" t="inlineStr">
        <is>
          <t>16:00</t>
        </is>
      </c>
      <c r="D17" s="34" t="inlineStr">
        <is>
          <t>23:00</t>
        </is>
      </c>
      <c r="E17" s="35" t="n">
        <v>30</v>
      </c>
      <c r="F17" s="26">
        <f>IF(B17="","",VLOOKUP(B17,Job_Settings!$A$5:$C$15,2,FALSE))</f>
        <v/>
      </c>
      <c r="G17" s="36">
        <f>IF(B17="","",VLOOKUP(B17,Job_Settings!$A$5:$C$15,3,FALSE))</f>
        <v/>
      </c>
      <c r="H17" s="59">
        <f>IF(OR(C17="",D17=""),"",ROUND((IF(ISNUMBER(D17),D17,TIMEVALUE(D17))-IF(ISNUMBER(C17),C17,TIMEVALUE(C17)))*24-(E17/60), 2))</f>
        <v/>
      </c>
      <c r="I17" s="26">
        <f>IF(OR(H17="",F17=""),"",ROUND(H17*F17, 2))</f>
        <v/>
      </c>
      <c r="J17" s="26">
        <f>IF(OR(I17="",G17=""),"",ROUND(I17*G17, 2))</f>
        <v/>
      </c>
      <c r="K17" s="26">
        <f>IF(OR(I17="",J17=""),"",ROUND(I17-J17, 2))</f>
        <v/>
      </c>
      <c r="L17" s="37">
        <f>IF(A17="","",ISOWEEKNUM(DATEVALUE(TEXT(A17,"yyyy-mm-dd"))))</f>
        <v/>
      </c>
      <c r="M17" s="37">
        <f>IF(A17="","",YEAR(DATEVALUE(TEXT(A17,"yyyy-mm-dd"))))</f>
        <v/>
      </c>
      <c r="N17" s="34">
        <f>IF(A17="","",TEXT(DATEVALUE(TEXT(A17,"yyyy-mm-dd")),"yyyy-mm"))</f>
        <v/>
      </c>
      <c r="O17" s="24" t="inlineStr">
        <is>
          <t>Post-Xmas dinner</t>
        </is>
      </c>
    </row>
    <row r="18">
      <c r="A18" s="60" t="inlineStr">
        <is>
          <t>2026-01-05</t>
        </is>
      </c>
      <c r="B18" s="38" t="inlineStr">
        <is>
          <t>Grand Hotel</t>
        </is>
      </c>
      <c r="C18" s="39" t="inlineStr">
        <is>
          <t>08:00</t>
        </is>
      </c>
      <c r="D18" s="39" t="inlineStr">
        <is>
          <t>16:30</t>
        </is>
      </c>
      <c r="E18" s="40" t="n">
        <v>30</v>
      </c>
      <c r="F18" s="30">
        <f>IF(B18="","",VLOOKUP(B18,Job_Settings!$A$5:$C$15,2,FALSE))</f>
        <v/>
      </c>
      <c r="G18" s="41">
        <f>IF(B18="","",VLOOKUP(B18,Job_Settings!$A$5:$C$15,3,FALSE))</f>
        <v/>
      </c>
      <c r="H18" s="61">
        <f>IF(OR(C18="",D18=""),"",ROUND((IF(ISNUMBER(D18),D18,TIMEVALUE(D18))-IF(ISNUMBER(C18),C18,TIMEVALUE(C18)))*24-(E18/60), 2))</f>
        <v/>
      </c>
      <c r="I18" s="30">
        <f>IF(OR(H18="",F18=""),"",ROUND(H18*F18, 2))</f>
        <v/>
      </c>
      <c r="J18" s="30">
        <f>IF(OR(I18="",G18=""),"",ROUND(I18*G18, 2))</f>
        <v/>
      </c>
      <c r="K18" s="30">
        <f>IF(OR(I18="",J18=""),"",ROUND(I18-J18, 2))</f>
        <v/>
      </c>
      <c r="L18" s="42">
        <f>IF(A18="","",ISOWEEKNUM(DATEVALUE(TEXT(A18,"yyyy-mm-dd"))))</f>
        <v/>
      </c>
      <c r="M18" s="42">
        <f>IF(A18="","",YEAR(DATEVALUE(TEXT(A18,"yyyy-mm-dd"))))</f>
        <v/>
      </c>
      <c r="N18" s="39">
        <f>IF(A18="","",TEXT(DATEVALUE(TEXT(A18,"yyyy-mm-dd")),"yyyy-mm"))</f>
        <v/>
      </c>
      <c r="O18" s="28" t="inlineStr">
        <is>
          <t>New Year shift</t>
        </is>
      </c>
    </row>
    <row r="19">
      <c r="A19" s="58" t="inlineStr">
        <is>
          <t>2026-01-07</t>
        </is>
      </c>
      <c r="B19" s="33" t="inlineStr">
        <is>
          <t>Agra Tandoori</t>
        </is>
      </c>
      <c r="C19" s="34" t="inlineStr">
        <is>
          <t>11:30</t>
        </is>
      </c>
      <c r="D19" s="34" t="inlineStr">
        <is>
          <t>19:30</t>
        </is>
      </c>
      <c r="E19" s="35" t="n">
        <v>30</v>
      </c>
      <c r="F19" s="26">
        <f>IF(B19="","",VLOOKUP(B19,Job_Settings!$A$5:$C$15,2,FALSE))</f>
        <v/>
      </c>
      <c r="G19" s="36">
        <f>IF(B19="","",VLOOKUP(B19,Job_Settings!$A$5:$C$15,3,FALSE))</f>
        <v/>
      </c>
      <c r="H19" s="59">
        <f>IF(OR(C19="",D19=""),"",ROUND((IF(ISNUMBER(D19),D19,TIMEVALUE(D19))-IF(ISNUMBER(C19),C19,TIMEVALUE(C19)))*24-(E19/60), 2))</f>
        <v/>
      </c>
      <c r="I19" s="26">
        <f>IF(OR(H19="",F19=""),"",ROUND(H19*F19, 2))</f>
        <v/>
      </c>
      <c r="J19" s="26">
        <f>IF(OR(I19="",G19=""),"",ROUND(I19*G19, 2))</f>
        <v/>
      </c>
      <c r="K19" s="26">
        <f>IF(OR(I19="",J19=""),"",ROUND(I19-J19, 2))</f>
        <v/>
      </c>
      <c r="L19" s="37">
        <f>IF(A19="","",ISOWEEKNUM(DATEVALUE(TEXT(A19,"yyyy-mm-dd"))))</f>
        <v/>
      </c>
      <c r="M19" s="37">
        <f>IF(A19="","",YEAR(DATEVALUE(TEXT(A19,"yyyy-mm-dd"))))</f>
        <v/>
      </c>
      <c r="N19" s="34">
        <f>IF(A19="","",TEXT(DATEVALUE(TEXT(A19,"yyyy-mm-dd")),"yyyy-mm"))</f>
        <v/>
      </c>
      <c r="O19" s="24" t="inlineStr">
        <is>
          <t>Day shift</t>
        </is>
      </c>
    </row>
    <row r="20">
      <c r="A20" s="60" t="inlineStr">
        <is>
          <t>2026-01-09</t>
        </is>
      </c>
      <c r="B20" s="38" t="inlineStr">
        <is>
          <t>Agra Tandoori</t>
        </is>
      </c>
      <c r="C20" s="39" t="inlineStr">
        <is>
          <t>16:00</t>
        </is>
      </c>
      <c r="D20" s="39" t="inlineStr">
        <is>
          <t>23:00</t>
        </is>
      </c>
      <c r="E20" s="40" t="n">
        <v>30</v>
      </c>
      <c r="F20" s="30">
        <f>IF(B20="","",VLOOKUP(B20,Job_Settings!$A$5:$C$15,2,FALSE))</f>
        <v/>
      </c>
      <c r="G20" s="41">
        <f>IF(B20="","",VLOOKUP(B20,Job_Settings!$A$5:$C$15,3,FALSE))</f>
        <v/>
      </c>
      <c r="H20" s="61">
        <f>IF(OR(C20="",D20=""),"",ROUND((IF(ISNUMBER(D20),D20,TIMEVALUE(D20))-IF(ISNUMBER(C20),C20,TIMEVALUE(C20)))*24-(E20/60), 2))</f>
        <v/>
      </c>
      <c r="I20" s="30">
        <f>IF(OR(H20="",F20=""),"",ROUND(H20*F20, 2))</f>
        <v/>
      </c>
      <c r="J20" s="30">
        <f>IF(OR(I20="",G20=""),"",ROUND(I20*G20, 2))</f>
        <v/>
      </c>
      <c r="K20" s="30">
        <f>IF(OR(I20="",J20=""),"",ROUND(I20-J20, 2))</f>
        <v/>
      </c>
      <c r="L20" s="42">
        <f>IF(A20="","",ISOWEEKNUM(DATEVALUE(TEXT(A20,"yyyy-mm-dd"))))</f>
        <v/>
      </c>
      <c r="M20" s="42">
        <f>IF(A20="","",YEAR(DATEVALUE(TEXT(A20,"yyyy-mm-dd"))))</f>
        <v/>
      </c>
      <c r="N20" s="39">
        <f>IF(A20="","",TEXT(DATEVALUE(TEXT(A20,"yyyy-mm-dd")),"yyyy-mm"))</f>
        <v/>
      </c>
      <c r="O20" s="28" t="inlineStr">
        <is>
          <t>Friday night</t>
        </is>
      </c>
    </row>
    <row r="21">
      <c r="A21" s="58" t="inlineStr">
        <is>
          <t>2026-01-12</t>
        </is>
      </c>
      <c r="B21" s="33" t="inlineStr">
        <is>
          <t>Grand Hotel</t>
        </is>
      </c>
      <c r="C21" s="34" t="inlineStr">
        <is>
          <t>07:30</t>
        </is>
      </c>
      <c r="D21" s="34" t="inlineStr">
        <is>
          <t>16:00</t>
        </is>
      </c>
      <c r="E21" s="35" t="n">
        <v>30</v>
      </c>
      <c r="F21" s="26">
        <f>IF(B21="","",VLOOKUP(B21,Job_Settings!$A$5:$C$15,2,FALSE))</f>
        <v/>
      </c>
      <c r="G21" s="36">
        <f>IF(B21="","",VLOOKUP(B21,Job_Settings!$A$5:$C$15,3,FALSE))</f>
        <v/>
      </c>
      <c r="H21" s="59">
        <f>IF(OR(C21="",D21=""),"",ROUND((IF(ISNUMBER(D21),D21,TIMEVALUE(D21))-IF(ISNUMBER(C21),C21,TIMEVALUE(C21)))*24-(E21/60), 2))</f>
        <v/>
      </c>
      <c r="I21" s="26">
        <f>IF(OR(H21="",F21=""),"",ROUND(H21*F21, 2))</f>
        <v/>
      </c>
      <c r="J21" s="26">
        <f>IF(OR(I21="",G21=""),"",ROUND(I21*G21, 2))</f>
        <v/>
      </c>
      <c r="K21" s="26">
        <f>IF(OR(I21="",J21=""),"",ROUND(I21-J21, 2))</f>
        <v/>
      </c>
      <c r="L21" s="37">
        <f>IF(A21="","",ISOWEEKNUM(DATEVALUE(TEXT(A21,"yyyy-mm-dd"))))</f>
        <v/>
      </c>
      <c r="M21" s="37">
        <f>IF(A21="","",YEAR(DATEVALUE(TEXT(A21,"yyyy-mm-dd"))))</f>
        <v/>
      </c>
      <c r="N21" s="34">
        <f>IF(A21="","",TEXT(DATEVALUE(TEXT(A21,"yyyy-mm-dd")),"yyyy-mm"))</f>
        <v/>
      </c>
      <c r="O21" s="24" t="inlineStr">
        <is>
          <t>Morning service</t>
        </is>
      </c>
    </row>
    <row r="22">
      <c r="A22" s="60" t="inlineStr">
        <is>
          <t>2026-01-15</t>
        </is>
      </c>
      <c r="B22" s="38" t="inlineStr">
        <is>
          <t>Backup Job</t>
        </is>
      </c>
      <c r="C22" s="39" t="inlineStr">
        <is>
          <t>10:00</t>
        </is>
      </c>
      <c r="D22" s="39" t="inlineStr">
        <is>
          <t>18:00</t>
        </is>
      </c>
      <c r="E22" s="40" t="n">
        <v>30</v>
      </c>
      <c r="F22" s="30">
        <f>IF(B22="","",VLOOKUP(B22,Job_Settings!$A$5:$C$15,2,FALSE))</f>
        <v/>
      </c>
      <c r="G22" s="41">
        <f>IF(B22="","",VLOOKUP(B22,Job_Settings!$A$5:$C$15,3,FALSE))</f>
        <v/>
      </c>
      <c r="H22" s="61">
        <f>IF(OR(C22="",D22=""),"",ROUND((IF(ISNUMBER(D22),D22,TIMEVALUE(D22))-IF(ISNUMBER(C22),C22,TIMEVALUE(C22)))*24-(E22/60), 2))</f>
        <v/>
      </c>
      <c r="I22" s="30">
        <f>IF(OR(H22="",F22=""),"",ROUND(H22*F22, 2))</f>
        <v/>
      </c>
      <c r="J22" s="30">
        <f>IF(OR(I22="",G22=""),"",ROUND(I22*G22, 2))</f>
        <v/>
      </c>
      <c r="K22" s="30">
        <f>IF(OR(I22="",J22=""),"",ROUND(I22-J22, 2))</f>
        <v/>
      </c>
      <c r="L22" s="42">
        <f>IF(A22="","",ISOWEEKNUM(DATEVALUE(TEXT(A22,"yyyy-mm-dd"))))</f>
        <v/>
      </c>
      <c r="M22" s="42">
        <f>IF(A22="","",YEAR(DATEVALUE(TEXT(A22,"yyyy-mm-dd"))))</f>
        <v/>
      </c>
      <c r="N22" s="39">
        <f>IF(A22="","",TEXT(DATEVALUE(TEXT(A22,"yyyy-mm-dd")),"yyyy-mm"))</f>
        <v/>
      </c>
      <c r="O22" s="28" t="inlineStr">
        <is>
          <t>Event setup</t>
        </is>
      </c>
    </row>
    <row r="23">
      <c r="A23" s="58" t="inlineStr">
        <is>
          <t>2026-01-18</t>
        </is>
      </c>
      <c r="B23" s="33" t="inlineStr">
        <is>
          <t>Agra Tandoori</t>
        </is>
      </c>
      <c r="C23" s="34" t="inlineStr">
        <is>
          <t>12:00</t>
        </is>
      </c>
      <c r="D23" s="34" t="inlineStr">
        <is>
          <t>21:00</t>
        </is>
      </c>
      <c r="E23" s="35" t="n">
        <v>45</v>
      </c>
      <c r="F23" s="26">
        <f>IF(B23="","",VLOOKUP(B23,Job_Settings!$A$5:$C$15,2,FALSE))</f>
        <v/>
      </c>
      <c r="G23" s="36">
        <f>IF(B23="","",VLOOKUP(B23,Job_Settings!$A$5:$C$15,3,FALSE))</f>
        <v/>
      </c>
      <c r="H23" s="59">
        <f>IF(OR(C23="",D23=""),"",ROUND((IF(ISNUMBER(D23),D23,TIMEVALUE(D23))-IF(ISNUMBER(C23),C23,TIMEVALUE(C23)))*24-(E23/60), 2))</f>
        <v/>
      </c>
      <c r="I23" s="26">
        <f>IF(OR(H23="",F23=""),"",ROUND(H23*F23, 2))</f>
        <v/>
      </c>
      <c r="J23" s="26">
        <f>IF(OR(I23="",G23=""),"",ROUND(I23*G23, 2))</f>
        <v/>
      </c>
      <c r="K23" s="26">
        <f>IF(OR(I23="",J23=""),"",ROUND(I23-J23, 2))</f>
        <v/>
      </c>
      <c r="L23" s="37">
        <f>IF(A23="","",ISOWEEKNUM(DATEVALUE(TEXT(A23,"yyyy-mm-dd"))))</f>
        <v/>
      </c>
      <c r="M23" s="37">
        <f>IF(A23="","",YEAR(DATEVALUE(TEXT(A23,"yyyy-mm-dd"))))</f>
        <v/>
      </c>
      <c r="N23" s="34">
        <f>IF(A23="","",TEXT(DATEVALUE(TEXT(A23,"yyyy-mm-dd")),"yyyy-mm"))</f>
        <v/>
      </c>
      <c r="O23" s="24" t="inlineStr">
        <is>
          <t>Sunday service</t>
        </is>
      </c>
    </row>
    <row r="24">
      <c r="A24" s="60" t="inlineStr">
        <is>
          <t>2026-01-22</t>
        </is>
      </c>
      <c r="B24" s="38" t="inlineStr">
        <is>
          <t>Grand Hotel</t>
        </is>
      </c>
      <c r="C24" s="39" t="inlineStr">
        <is>
          <t>15:00</t>
        </is>
      </c>
      <c r="D24" s="39" t="inlineStr">
        <is>
          <t>23:00</t>
        </is>
      </c>
      <c r="E24" s="40" t="n">
        <v>30</v>
      </c>
      <c r="F24" s="30">
        <f>IF(B24="","",VLOOKUP(B24,Job_Settings!$A$5:$C$15,2,FALSE))</f>
        <v/>
      </c>
      <c r="G24" s="41">
        <f>IF(B24="","",VLOOKUP(B24,Job_Settings!$A$5:$C$15,3,FALSE))</f>
        <v/>
      </c>
      <c r="H24" s="61">
        <f>IF(OR(C24="",D24=""),"",ROUND((IF(ISNUMBER(D24),D24,TIMEVALUE(D24))-IF(ISNUMBER(C24),C24,TIMEVALUE(C24)))*24-(E24/60), 2))</f>
        <v/>
      </c>
      <c r="I24" s="30">
        <f>IF(OR(H24="",F24=""),"",ROUND(H24*F24, 2))</f>
        <v/>
      </c>
      <c r="J24" s="30">
        <f>IF(OR(I24="",G24=""),"",ROUND(I24*G24, 2))</f>
        <v/>
      </c>
      <c r="K24" s="30">
        <f>IF(OR(I24="",J24=""),"",ROUND(I24-J24, 2))</f>
        <v/>
      </c>
      <c r="L24" s="42">
        <f>IF(A24="","",ISOWEEKNUM(DATEVALUE(TEXT(A24,"yyyy-mm-dd"))))</f>
        <v/>
      </c>
      <c r="M24" s="42">
        <f>IF(A24="","",YEAR(DATEVALUE(TEXT(A24,"yyyy-mm-dd"))))</f>
        <v/>
      </c>
      <c r="N24" s="39">
        <f>IF(A24="","",TEXT(DATEVALUE(TEXT(A24,"yyyy-mm-dd")),"yyyy-mm"))</f>
        <v/>
      </c>
      <c r="O24" s="28" t="inlineStr">
        <is>
          <t>Dinner conference</t>
        </is>
      </c>
    </row>
    <row r="25">
      <c r="A25" s="58" t="inlineStr">
        <is>
          <t>2026-01-26</t>
        </is>
      </c>
      <c r="B25" s="33" t="inlineStr">
        <is>
          <t>Agra Tandoori</t>
        </is>
      </c>
      <c r="C25" s="34" t="inlineStr">
        <is>
          <t>16:00</t>
        </is>
      </c>
      <c r="D25" s="34" t="inlineStr">
        <is>
          <t>23:00</t>
        </is>
      </c>
      <c r="E25" s="35" t="n">
        <v>30</v>
      </c>
      <c r="F25" s="26">
        <f>IF(B25="","",VLOOKUP(B25,Job_Settings!$A$5:$C$15,2,FALSE))</f>
        <v/>
      </c>
      <c r="G25" s="36">
        <f>IF(B25="","",VLOOKUP(B25,Job_Settings!$A$5:$C$15,3,FALSE))</f>
        <v/>
      </c>
      <c r="H25" s="59">
        <f>IF(OR(C25="",D25=""),"",ROUND((IF(ISNUMBER(D25),D25,TIMEVALUE(D25))-IF(ISNUMBER(C25),C25,TIMEVALUE(C25)))*24-(E25/60), 2))</f>
        <v/>
      </c>
      <c r="I25" s="26">
        <f>IF(OR(H25="",F25=""),"",ROUND(H25*F25, 2))</f>
        <v/>
      </c>
      <c r="J25" s="26">
        <f>IF(OR(I25="",G25=""),"",ROUND(I25*G25, 2))</f>
        <v/>
      </c>
      <c r="K25" s="26">
        <f>IF(OR(I25="",J25=""),"",ROUND(I25-J25, 2))</f>
        <v/>
      </c>
      <c r="L25" s="37">
        <f>IF(A25="","",ISOWEEKNUM(DATEVALUE(TEXT(A25,"yyyy-mm-dd"))))</f>
        <v/>
      </c>
      <c r="M25" s="37">
        <f>IF(A25="","",YEAR(DATEVALUE(TEXT(A25,"yyyy-mm-dd"))))</f>
        <v/>
      </c>
      <c r="N25" s="34">
        <f>IF(A25="","",TEXT(DATEVALUE(TEXT(A25,"yyyy-mm-dd")),"yyyy-mm"))</f>
        <v/>
      </c>
      <c r="O25" s="24" t="inlineStr">
        <is>
          <t>Monday dinner</t>
        </is>
      </c>
    </row>
    <row r="26">
      <c r="A26" s="60" t="inlineStr">
        <is>
          <t>2026-02-02</t>
        </is>
      </c>
      <c r="B26" s="38" t="inlineStr">
        <is>
          <t>Grand Hotel</t>
        </is>
      </c>
      <c r="C26" s="39" t="inlineStr">
        <is>
          <t>08:00</t>
        </is>
      </c>
      <c r="D26" s="39" t="inlineStr">
        <is>
          <t>16:30</t>
        </is>
      </c>
      <c r="E26" s="40" t="n">
        <v>30</v>
      </c>
      <c r="F26" s="30">
        <f>IF(B26="","",VLOOKUP(B26,Job_Settings!$A$5:$C$15,2,FALSE))</f>
        <v/>
      </c>
      <c r="G26" s="41">
        <f>IF(B26="","",VLOOKUP(B26,Job_Settings!$A$5:$C$15,3,FALSE))</f>
        <v/>
      </c>
      <c r="H26" s="61">
        <f>IF(OR(C26="",D26=""),"",ROUND((IF(ISNUMBER(D26),D26,TIMEVALUE(D26))-IF(ISNUMBER(C26),C26,TIMEVALUE(C26)))*24-(E26/60), 2))</f>
        <v/>
      </c>
      <c r="I26" s="30">
        <f>IF(OR(H26="",F26=""),"",ROUND(H26*F26, 2))</f>
        <v/>
      </c>
      <c r="J26" s="30">
        <f>IF(OR(I26="",G26=""),"",ROUND(I26*G26, 2))</f>
        <v/>
      </c>
      <c r="K26" s="30">
        <f>IF(OR(I26="",J26=""),"",ROUND(I26-J26, 2))</f>
        <v/>
      </c>
      <c r="L26" s="42">
        <f>IF(A26="","",ISOWEEKNUM(DATEVALUE(TEXT(A26,"yyyy-mm-dd"))))</f>
        <v/>
      </c>
      <c r="M26" s="42">
        <f>IF(A26="","",YEAR(DATEVALUE(TEXT(A26,"yyyy-mm-dd"))))</f>
        <v/>
      </c>
      <c r="N26" s="39">
        <f>IF(A26="","",TEXT(DATEVALUE(TEXT(A26,"yyyy-mm-dd")),"yyyy-mm"))</f>
        <v/>
      </c>
      <c r="O26" s="28" t="inlineStr">
        <is>
          <t>Feb morning shift</t>
        </is>
      </c>
    </row>
    <row r="27">
      <c r="A27" s="58" t="inlineStr">
        <is>
          <t>2026-02-04</t>
        </is>
      </c>
      <c r="B27" s="33" t="inlineStr">
        <is>
          <t>Agra Tandoori</t>
        </is>
      </c>
      <c r="C27" s="34" t="inlineStr">
        <is>
          <t>11:00</t>
        </is>
      </c>
      <c r="D27" s="34" t="inlineStr">
        <is>
          <t>19:00</t>
        </is>
      </c>
      <c r="E27" s="35" t="n">
        <v>30</v>
      </c>
      <c r="F27" s="26">
        <f>IF(B27="","",VLOOKUP(B27,Job_Settings!$A$5:$C$15,2,FALSE))</f>
        <v/>
      </c>
      <c r="G27" s="36">
        <f>IF(B27="","",VLOOKUP(B27,Job_Settings!$A$5:$C$15,3,FALSE))</f>
        <v/>
      </c>
      <c r="H27" s="59">
        <f>IF(OR(C27="",D27=""),"",ROUND((IF(ISNUMBER(D27),D27,TIMEVALUE(D27))-IF(ISNUMBER(C27),C27,TIMEVALUE(C27)))*24-(E27/60), 2))</f>
        <v/>
      </c>
      <c r="I27" s="26">
        <f>IF(OR(H27="",F27=""),"",ROUND(H27*F27, 2))</f>
        <v/>
      </c>
      <c r="J27" s="26">
        <f>IF(OR(I27="",G27=""),"",ROUND(I27*G27, 2))</f>
        <v/>
      </c>
      <c r="K27" s="26">
        <f>IF(OR(I27="",J27=""),"",ROUND(I27-J27, 2))</f>
        <v/>
      </c>
      <c r="L27" s="37">
        <f>IF(A27="","",ISOWEEKNUM(DATEVALUE(TEXT(A27,"yyyy-mm-dd"))))</f>
        <v/>
      </c>
      <c r="M27" s="37">
        <f>IF(A27="","",YEAR(DATEVALUE(TEXT(A27,"yyyy-mm-dd"))))</f>
        <v/>
      </c>
      <c r="N27" s="34">
        <f>IF(A27="","",TEXT(DATEVALUE(TEXT(A27,"yyyy-mm-dd")),"yyyy-mm"))</f>
        <v/>
      </c>
      <c r="O27" s="24" t="inlineStr">
        <is>
          <t>Feb lunch shift</t>
        </is>
      </c>
    </row>
    <row r="28">
      <c r="A28" s="60" t="inlineStr">
        <is>
          <t>2026-02-07</t>
        </is>
      </c>
      <c r="B28" s="38" t="inlineStr">
        <is>
          <t>Grand Hotel</t>
        </is>
      </c>
      <c r="C28" s="39" t="inlineStr">
        <is>
          <t>14:00</t>
        </is>
      </c>
      <c r="D28" s="39" t="inlineStr">
        <is>
          <t>22:30</t>
        </is>
      </c>
      <c r="E28" s="40" t="n">
        <v>30</v>
      </c>
      <c r="F28" s="30">
        <f>IF(B28="","",VLOOKUP(B28,Job_Settings!$A$5:$C$15,2,FALSE))</f>
        <v/>
      </c>
      <c r="G28" s="41">
        <f>IF(B28="","",VLOOKUP(B28,Job_Settings!$A$5:$C$15,3,FALSE))</f>
        <v/>
      </c>
      <c r="H28" s="61">
        <f>IF(OR(C28="",D28=""),"",ROUND((IF(ISNUMBER(D28),D28,TIMEVALUE(D28))-IF(ISNUMBER(C28),C28,TIMEVALUE(C28)))*24-(E28/60), 2))</f>
        <v/>
      </c>
      <c r="I28" s="30">
        <f>IF(OR(H28="",F28=""),"",ROUND(H28*F28, 2))</f>
        <v/>
      </c>
      <c r="J28" s="30">
        <f>IF(OR(I28="",G28=""),"",ROUND(I28*G28, 2))</f>
        <v/>
      </c>
      <c r="K28" s="30">
        <f>IF(OR(I28="",J28=""),"",ROUND(I28-J28, 2))</f>
        <v/>
      </c>
      <c r="L28" s="42">
        <f>IF(A28="","",ISOWEEKNUM(DATEVALUE(TEXT(A28,"yyyy-mm-dd"))))</f>
        <v/>
      </c>
      <c r="M28" s="42">
        <f>IF(A28="","",YEAR(DATEVALUE(TEXT(A28,"yyyy-mm-dd"))))</f>
        <v/>
      </c>
      <c r="N28" s="39">
        <f>IF(A28="","",TEXT(DATEVALUE(TEXT(A28,"yyyy-mm-dd")),"yyyy-mm"))</f>
        <v/>
      </c>
      <c r="O28" s="28" t="inlineStr">
        <is>
          <t>Feb weekend event</t>
        </is>
      </c>
    </row>
    <row r="29">
      <c r="A29" s="62" t="inlineStr">
        <is>
          <t>2026-02-10</t>
        </is>
      </c>
      <c r="B29" s="63" t="inlineStr">
        <is>
          <t>Agra Tandoori</t>
        </is>
      </c>
      <c r="C29" s="64" t="inlineStr">
        <is>
          <t>11:00</t>
        </is>
      </c>
      <c r="D29" s="64" t="inlineStr">
        <is>
          <t>19:00</t>
        </is>
      </c>
      <c r="E29" s="44" t="n">
        <v>30</v>
      </c>
      <c r="F29" s="45">
        <f>IF(B29="","",VLOOKUP(B29,Job_Settings!$A$5:$C$15,2,FALSE))</f>
        <v/>
      </c>
      <c r="G29" s="46">
        <f>IF(B29="","",VLOOKUP(B29,Job_Settings!$A$5:$C$15,3,FALSE))</f>
        <v/>
      </c>
      <c r="H29" s="65">
        <f>IF(OR(C29="",D29=""),"",ROUND((IF(ISNUMBER(D29),D29,TIMEVALUE(D29))-IF(ISNUMBER(C29),C29,TIMEVALUE(C29)))*24-(E29/60), 2))</f>
        <v/>
      </c>
      <c r="I29" s="45">
        <f>IF(OR(H29="",F29=""),"",ROUND(H29*F29, 2))</f>
        <v/>
      </c>
      <c r="J29" s="45">
        <f>IF(OR(I29="",G29=""),"",ROUND(I29*G29, 2))</f>
        <v/>
      </c>
      <c r="K29" s="45">
        <f>IF(OR(I29="",J29=""),"",ROUND(I29-J29, 2))</f>
        <v/>
      </c>
      <c r="L29" s="48">
        <f>IF(A29="","",ISOWEEKNUM(DATEVALUE(TEXT(A29,"yyyy-mm-dd"))))</f>
        <v/>
      </c>
      <c r="M29" s="48">
        <f>IF(A29="","",YEAR(DATEVALUE(TEXT(A29,"yyyy-mm-dd"))))</f>
        <v/>
      </c>
      <c r="N29" s="11">
        <f>IF(A29="","",TEXT(DATEVALUE(TEXT(A29,"yyyy-mm-dd")),"yyyy-mm"))</f>
        <v/>
      </c>
      <c r="O29" s="11" t="inlineStr">
        <is>
          <t>Imported from Apple Calendar: Work shift @ Agra Tandoori</t>
        </is>
      </c>
    </row>
    <row r="30">
      <c r="A30" s="62" t="inlineStr">
        <is>
          <t>2026-02-12</t>
        </is>
      </c>
      <c r="B30" s="63" t="inlineStr">
        <is>
          <t>Grand Hotel</t>
        </is>
      </c>
      <c r="C30" s="64" t="inlineStr">
        <is>
          <t>14:00</t>
        </is>
      </c>
      <c r="D30" s="64" t="inlineStr">
        <is>
          <t>22:30</t>
        </is>
      </c>
      <c r="E30" s="44" t="n">
        <v>30</v>
      </c>
      <c r="F30" s="45">
        <f>IF(B30="","",VLOOKUP(B30,Job_Settings!$A$5:$C$15,2,FALSE))</f>
        <v/>
      </c>
      <c r="G30" s="46">
        <f>IF(B30="","",VLOOKUP(B30,Job_Settings!$A$5:$C$15,3,FALSE))</f>
        <v/>
      </c>
      <c r="H30" s="65">
        <f>IF(OR(C30="",D30=""),"",ROUND((IF(ISNUMBER(D30),D30,TIMEVALUE(D30))-IF(ISNUMBER(C30),C30,TIMEVALUE(C30)))*24-(E30/60), 2))</f>
        <v/>
      </c>
      <c r="I30" s="45">
        <f>IF(OR(H30="",F30=""),"",ROUND(H30*F30, 2))</f>
        <v/>
      </c>
      <c r="J30" s="45">
        <f>IF(OR(I30="",G30=""),"",ROUND(I30*G30, 2))</f>
        <v/>
      </c>
      <c r="K30" s="45">
        <f>IF(OR(I30="",J30=""),"",ROUND(I30-J30, 2))</f>
        <v/>
      </c>
      <c r="L30" s="48">
        <f>IF(A30="","",ISOWEEKNUM(DATEVALUE(TEXT(A30,"yyyy-mm-dd"))))</f>
        <v/>
      </c>
      <c r="M30" s="48">
        <f>IF(A30="","",YEAR(DATEVALUE(TEXT(A30,"yyyy-mm-dd"))))</f>
        <v/>
      </c>
      <c r="N30" s="11">
        <f>IF(A30="","",TEXT(DATEVALUE(TEXT(A30,"yyyy-mm-dd")),"yyyy-mm"))</f>
        <v/>
      </c>
      <c r="O30" s="11" t="inlineStr">
        <is>
          <t>Imported from Apple Calendar: Grand Hotel Evening Shift</t>
        </is>
      </c>
    </row>
    <row r="31">
      <c r="A31" s="62" t="inlineStr">
        <is>
          <t>2026-02-15</t>
        </is>
      </c>
      <c r="B31" s="63" t="inlineStr">
        <is>
          <t>Backup Job</t>
        </is>
      </c>
      <c r="C31" s="64" t="inlineStr">
        <is>
          <t>09:00</t>
        </is>
      </c>
      <c r="D31" s="64" t="inlineStr">
        <is>
          <t>17:00</t>
        </is>
      </c>
      <c r="E31" s="44" t="n">
        <v>30</v>
      </c>
      <c r="F31" s="45">
        <f>IF(B31="","",VLOOKUP(B31,Job_Settings!$A$5:$C$15,2,FALSE))</f>
        <v/>
      </c>
      <c r="G31" s="46">
        <f>IF(B31="","",VLOOKUP(B31,Job_Settings!$A$5:$C$15,3,FALSE))</f>
        <v/>
      </c>
      <c r="H31" s="65">
        <f>IF(OR(C31="",D31=""),"",ROUND((IF(ISNUMBER(D31),D31,TIMEVALUE(D31))-IF(ISNUMBER(C31),C31,TIMEVALUE(C31)))*24-(E31/60), 2))</f>
        <v/>
      </c>
      <c r="I31" s="45">
        <f>IF(OR(H31="",F31=""),"",ROUND(H31*F31, 2))</f>
        <v/>
      </c>
      <c r="J31" s="45">
        <f>IF(OR(I31="",G31=""),"",ROUND(I31*G31, 2))</f>
        <v/>
      </c>
      <c r="K31" s="45">
        <f>IF(OR(I31="",J31=""),"",ROUND(I31-J31, 2))</f>
        <v/>
      </c>
      <c r="L31" s="48">
        <f>IF(A31="","",ISOWEEKNUM(DATEVALUE(TEXT(A31,"yyyy-mm-dd"))))</f>
        <v/>
      </c>
      <c r="M31" s="48">
        <f>IF(A31="","",YEAR(DATEVALUE(TEXT(A31,"yyyy-mm-dd"))))</f>
        <v/>
      </c>
      <c r="N31" s="11">
        <f>IF(A31="","",TEXT(DATEVALUE(TEXT(A31,"yyyy-mm-dd")),"yyyy-mm"))</f>
        <v/>
      </c>
      <c r="O31" s="11" t="inlineStr">
        <is>
          <t>Imported from Apple Calendar: Backup Job Cover Shift</t>
        </is>
      </c>
    </row>
    <row r="32">
      <c r="A32" s="62" t="inlineStr">
        <is>
          <t>2026-02-18</t>
        </is>
      </c>
      <c r="B32" s="63" t="inlineStr">
        <is>
          <t>Agra Tandoori</t>
        </is>
      </c>
      <c r="C32" s="64" t="inlineStr">
        <is>
          <t>16:00</t>
        </is>
      </c>
      <c r="D32" s="64" t="inlineStr">
        <is>
          <t>23:30</t>
        </is>
      </c>
      <c r="E32" s="44" t="n">
        <v>45</v>
      </c>
      <c r="F32" s="45">
        <f>IF(B32="","",VLOOKUP(B32,Job_Settings!$A$5:$C$15,2,FALSE))</f>
        <v/>
      </c>
      <c r="G32" s="46">
        <f>IF(B32="","",VLOOKUP(B32,Job_Settings!$A$5:$C$15,3,FALSE))</f>
        <v/>
      </c>
      <c r="H32" s="65">
        <f>IF(OR(C32="",D32=""),"",ROUND((IF(ISNUMBER(D32),D32,TIMEVALUE(D32))-IF(ISNUMBER(C32),C32,TIMEVALUE(C32)))*24-(E32/60), 2))</f>
        <v/>
      </c>
      <c r="I32" s="45">
        <f>IF(OR(H32="",F32=""),"",ROUND(H32*F32, 2))</f>
        <v/>
      </c>
      <c r="J32" s="45">
        <f>IF(OR(I32="",G32=""),"",ROUND(I32*G32, 2))</f>
        <v/>
      </c>
      <c r="K32" s="45">
        <f>IF(OR(I32="",J32=""),"",ROUND(I32-J32, 2))</f>
        <v/>
      </c>
      <c r="L32" s="48">
        <f>IF(A32="","",ISOWEEKNUM(DATEVALUE(TEXT(A32,"yyyy-mm-dd"))))</f>
        <v/>
      </c>
      <c r="M32" s="48">
        <f>IF(A32="","",YEAR(DATEVALUE(TEXT(A32,"yyyy-mm-dd"))))</f>
        <v/>
      </c>
      <c r="N32" s="11">
        <f>IF(A32="","",TEXT(DATEVALUE(TEXT(A32,"yyyy-mm-dd")),"yyyy-mm"))</f>
        <v/>
      </c>
      <c r="O32" s="11" t="inlineStr">
        <is>
          <t>Imported from Apple Calendar: Agra Tandoori Dinner Shift</t>
        </is>
      </c>
    </row>
    <row r="33">
      <c r="A33" s="62" t="n"/>
      <c r="B33" s="11" t="n"/>
      <c r="C33" s="11" t="n"/>
      <c r="D33" s="11" t="n"/>
      <c r="E33" s="44" t="n">
        <v>30</v>
      </c>
      <c r="F33" s="45">
        <f>IF(B33="","",VLOOKUP(B33,Job_Settings!$A$5:$C$15,2,FALSE))</f>
        <v/>
      </c>
      <c r="G33" s="46">
        <f>IF(B33="","",VLOOKUP(B33,Job_Settings!$A$5:$C$15,3,FALSE))</f>
        <v/>
      </c>
      <c r="H33" s="65">
        <f>IF(OR(C33="",D33=""),"",ROUND((IF(ISNUMBER(D33),D33,TIMEVALUE(D33))-IF(ISNUMBER(C33),C33,TIMEVALUE(C33)))*24-(E33/60), 2))</f>
        <v/>
      </c>
      <c r="I33" s="45">
        <f>IF(OR(H33="",F33=""),"",ROUND(H33*F33, 2))</f>
        <v/>
      </c>
      <c r="J33" s="45">
        <f>IF(OR(I33="",G33=""),"",ROUND(I33*G33, 2))</f>
        <v/>
      </c>
      <c r="K33" s="45">
        <f>IF(OR(I33="",J33=""),"",ROUND(I33-J33, 2))</f>
        <v/>
      </c>
      <c r="L33" s="48">
        <f>IF(A33="","",ISOWEEKNUM(DATEVALUE(TEXT(A33,"yyyy-mm-dd"))))</f>
        <v/>
      </c>
      <c r="M33" s="48">
        <f>IF(A33="","",YEAR(DATEVALUE(TEXT(A33,"yyyy-mm-dd"))))</f>
        <v/>
      </c>
      <c r="N33" s="11">
        <f>IF(A33="","",TEXT(DATEVALUE(TEXT(A33,"yyyy-mm-dd")),"yyyy-mm"))</f>
        <v/>
      </c>
      <c r="O33" s="11" t="n"/>
    </row>
    <row r="34">
      <c r="A34" s="62" t="n"/>
      <c r="B34" s="11" t="n"/>
      <c r="C34" s="11" t="n"/>
      <c r="D34" s="11" t="n"/>
      <c r="E34" s="44" t="n">
        <v>30</v>
      </c>
      <c r="F34" s="45">
        <f>IF(B34="","",VLOOKUP(B34,Job_Settings!$A$5:$C$15,2,FALSE))</f>
        <v/>
      </c>
      <c r="G34" s="46">
        <f>IF(B34="","",VLOOKUP(B34,Job_Settings!$A$5:$C$15,3,FALSE))</f>
        <v/>
      </c>
      <c r="H34" s="65">
        <f>IF(OR(C34="",D34=""),"",ROUND((IF(ISNUMBER(D34),D34,TIMEVALUE(D34))-IF(ISNUMBER(C34),C34,TIMEVALUE(C34)))*24-(E34/60), 2))</f>
        <v/>
      </c>
      <c r="I34" s="45">
        <f>IF(OR(H34="",F34=""),"",ROUND(H34*F34, 2))</f>
        <v/>
      </c>
      <c r="J34" s="45">
        <f>IF(OR(I34="",G34=""),"",ROUND(I34*G34, 2))</f>
        <v/>
      </c>
      <c r="K34" s="45">
        <f>IF(OR(I34="",J34=""),"",ROUND(I34-J34, 2))</f>
        <v/>
      </c>
      <c r="L34" s="48">
        <f>IF(A34="","",ISOWEEKNUM(DATEVALUE(TEXT(A34,"yyyy-mm-dd"))))</f>
        <v/>
      </c>
      <c r="M34" s="48">
        <f>IF(A34="","",YEAR(DATEVALUE(TEXT(A34,"yyyy-mm-dd"))))</f>
        <v/>
      </c>
      <c r="N34" s="11">
        <f>IF(A34="","",TEXT(DATEVALUE(TEXT(A34,"yyyy-mm-dd")),"yyyy-mm"))</f>
        <v/>
      </c>
      <c r="O34" s="11" t="n"/>
    </row>
    <row r="35">
      <c r="A35" s="62" t="n"/>
      <c r="B35" s="11" t="n"/>
      <c r="C35" s="11" t="n"/>
      <c r="D35" s="11" t="n"/>
      <c r="E35" s="44" t="n">
        <v>30</v>
      </c>
      <c r="F35" s="45">
        <f>IF(B35="","",VLOOKUP(B35,Job_Settings!$A$5:$C$15,2,FALSE))</f>
        <v/>
      </c>
      <c r="G35" s="46">
        <f>IF(B35="","",VLOOKUP(B35,Job_Settings!$A$5:$C$15,3,FALSE))</f>
        <v/>
      </c>
      <c r="H35" s="65">
        <f>IF(OR(C35="",D35=""),"",ROUND((IF(ISNUMBER(D35),D35,TIMEVALUE(D35))-IF(ISNUMBER(C35),C35,TIMEVALUE(C35)))*24-(E35/60), 2))</f>
        <v/>
      </c>
      <c r="I35" s="45">
        <f>IF(OR(H35="",F35=""),"",ROUND(H35*F35, 2))</f>
        <v/>
      </c>
      <c r="J35" s="45">
        <f>IF(OR(I35="",G35=""),"",ROUND(I35*G35, 2))</f>
        <v/>
      </c>
      <c r="K35" s="45">
        <f>IF(OR(I35="",J35=""),"",ROUND(I35-J35, 2))</f>
        <v/>
      </c>
      <c r="L35" s="48">
        <f>IF(A35="","",ISOWEEKNUM(DATEVALUE(TEXT(A35,"yyyy-mm-dd"))))</f>
        <v/>
      </c>
      <c r="M35" s="48">
        <f>IF(A35="","",YEAR(DATEVALUE(TEXT(A35,"yyyy-mm-dd"))))</f>
        <v/>
      </c>
      <c r="N35" s="11">
        <f>IF(A35="","",TEXT(DATEVALUE(TEXT(A35,"yyyy-mm-dd")),"yyyy-mm"))</f>
        <v/>
      </c>
      <c r="O35" s="11" t="n"/>
    </row>
    <row r="36">
      <c r="A36" s="62" t="n"/>
      <c r="B36" s="11" t="n"/>
      <c r="C36" s="11" t="n"/>
      <c r="D36" s="11" t="n"/>
      <c r="E36" s="44" t="n">
        <v>30</v>
      </c>
      <c r="F36" s="45">
        <f>IF(B36="","",VLOOKUP(B36,Job_Settings!$A$5:$C$15,2,FALSE))</f>
        <v/>
      </c>
      <c r="G36" s="46">
        <f>IF(B36="","",VLOOKUP(B36,Job_Settings!$A$5:$C$15,3,FALSE))</f>
        <v/>
      </c>
      <c r="H36" s="65">
        <f>IF(OR(C36="",D36=""),"",ROUND((IF(ISNUMBER(D36),D36,TIMEVALUE(D36))-IF(ISNUMBER(C36),C36,TIMEVALUE(C36)))*24-(E36/60), 2))</f>
        <v/>
      </c>
      <c r="I36" s="45">
        <f>IF(OR(H36="",F36=""),"",ROUND(H36*F36, 2))</f>
        <v/>
      </c>
      <c r="J36" s="45">
        <f>IF(OR(I36="",G36=""),"",ROUND(I36*G36, 2))</f>
        <v/>
      </c>
      <c r="K36" s="45">
        <f>IF(OR(I36="",J36=""),"",ROUND(I36-J36, 2))</f>
        <v/>
      </c>
      <c r="L36" s="48">
        <f>IF(A36="","",ISOWEEKNUM(DATEVALUE(TEXT(A36,"yyyy-mm-dd"))))</f>
        <v/>
      </c>
      <c r="M36" s="48">
        <f>IF(A36="","",YEAR(DATEVALUE(TEXT(A36,"yyyy-mm-dd"))))</f>
        <v/>
      </c>
      <c r="N36" s="11">
        <f>IF(A36="","",TEXT(DATEVALUE(TEXT(A36,"yyyy-mm-dd")),"yyyy-mm"))</f>
        <v/>
      </c>
      <c r="O36" s="11" t="n"/>
    </row>
    <row r="37">
      <c r="A37" s="62" t="n"/>
      <c r="B37" s="11" t="n"/>
      <c r="C37" s="11" t="n"/>
      <c r="D37" s="11" t="n"/>
      <c r="E37" s="44" t="n">
        <v>30</v>
      </c>
      <c r="F37" s="45">
        <f>IF(B37="","",VLOOKUP(B37,Job_Settings!$A$5:$C$15,2,FALSE))</f>
        <v/>
      </c>
      <c r="G37" s="46">
        <f>IF(B37="","",VLOOKUP(B37,Job_Settings!$A$5:$C$15,3,FALSE))</f>
        <v/>
      </c>
      <c r="H37" s="65">
        <f>IF(OR(C37="",D37=""),"",ROUND((IF(ISNUMBER(D37),D37,TIMEVALUE(D37))-IF(ISNUMBER(C37),C37,TIMEVALUE(C37)))*24-(E37/60), 2))</f>
        <v/>
      </c>
      <c r="I37" s="45">
        <f>IF(OR(H37="",F37=""),"",ROUND(H37*F37, 2))</f>
        <v/>
      </c>
      <c r="J37" s="45">
        <f>IF(OR(I37="",G37=""),"",ROUND(I37*G37, 2))</f>
        <v/>
      </c>
      <c r="K37" s="45">
        <f>IF(OR(I37="",J37=""),"",ROUND(I37-J37, 2))</f>
        <v/>
      </c>
      <c r="L37" s="48">
        <f>IF(A37="","",ISOWEEKNUM(DATEVALUE(TEXT(A37,"yyyy-mm-dd"))))</f>
        <v/>
      </c>
      <c r="M37" s="48">
        <f>IF(A37="","",YEAR(DATEVALUE(TEXT(A37,"yyyy-mm-dd"))))</f>
        <v/>
      </c>
      <c r="N37" s="11">
        <f>IF(A37="","",TEXT(DATEVALUE(TEXT(A37,"yyyy-mm-dd")),"yyyy-mm"))</f>
        <v/>
      </c>
      <c r="O37" s="11" t="n"/>
    </row>
    <row r="38">
      <c r="A38" s="62" t="n"/>
      <c r="B38" s="11" t="n"/>
      <c r="C38" s="11" t="n"/>
      <c r="D38" s="11" t="n"/>
      <c r="E38" s="44" t="n">
        <v>30</v>
      </c>
      <c r="F38" s="45">
        <f>IF(B38="","",VLOOKUP(B38,Job_Settings!$A$5:$C$15,2,FALSE))</f>
        <v/>
      </c>
      <c r="G38" s="46">
        <f>IF(B38="","",VLOOKUP(B38,Job_Settings!$A$5:$C$15,3,FALSE))</f>
        <v/>
      </c>
      <c r="H38" s="65">
        <f>IF(OR(C38="",D38=""),"",ROUND((IF(ISNUMBER(D38),D38,TIMEVALUE(D38))-IF(ISNUMBER(C38),C38,TIMEVALUE(C38)))*24-(E38/60), 2))</f>
        <v/>
      </c>
      <c r="I38" s="45">
        <f>IF(OR(H38="",F38=""),"",ROUND(H38*F38, 2))</f>
        <v/>
      </c>
      <c r="J38" s="45">
        <f>IF(OR(I38="",G38=""),"",ROUND(I38*G38, 2))</f>
        <v/>
      </c>
      <c r="K38" s="45">
        <f>IF(OR(I38="",J38=""),"",ROUND(I38-J38, 2))</f>
        <v/>
      </c>
      <c r="L38" s="48">
        <f>IF(A38="","",ISOWEEKNUM(DATEVALUE(TEXT(A38,"yyyy-mm-dd"))))</f>
        <v/>
      </c>
      <c r="M38" s="48">
        <f>IF(A38="","",YEAR(DATEVALUE(TEXT(A38,"yyyy-mm-dd"))))</f>
        <v/>
      </c>
      <c r="N38" s="11">
        <f>IF(A38="","",TEXT(DATEVALUE(TEXT(A38,"yyyy-mm-dd")),"yyyy-mm"))</f>
        <v/>
      </c>
      <c r="O38" s="11" t="n"/>
    </row>
    <row r="39">
      <c r="A39" s="62" t="n"/>
      <c r="B39" s="11" t="n"/>
      <c r="C39" s="11" t="n"/>
      <c r="D39" s="11" t="n"/>
      <c r="E39" s="44" t="n">
        <v>30</v>
      </c>
      <c r="F39" s="45">
        <f>IF(B39="","",VLOOKUP(B39,Job_Settings!$A$5:$C$15,2,FALSE))</f>
        <v/>
      </c>
      <c r="G39" s="46">
        <f>IF(B39="","",VLOOKUP(B39,Job_Settings!$A$5:$C$15,3,FALSE))</f>
        <v/>
      </c>
      <c r="H39" s="65">
        <f>IF(OR(C39="",D39=""),"",ROUND((IF(ISNUMBER(D39),D39,TIMEVALUE(D39))-IF(ISNUMBER(C39),C39,TIMEVALUE(C39)))*24-(E39/60), 2))</f>
        <v/>
      </c>
      <c r="I39" s="45">
        <f>IF(OR(H39="",F39=""),"",ROUND(H39*F39, 2))</f>
        <v/>
      </c>
      <c r="J39" s="45">
        <f>IF(OR(I39="",G39=""),"",ROUND(I39*G39, 2))</f>
        <v/>
      </c>
      <c r="K39" s="45">
        <f>IF(OR(I39="",J39=""),"",ROUND(I39-J39, 2))</f>
        <v/>
      </c>
      <c r="L39" s="48">
        <f>IF(A39="","",ISOWEEKNUM(DATEVALUE(TEXT(A39,"yyyy-mm-dd"))))</f>
        <v/>
      </c>
      <c r="M39" s="48">
        <f>IF(A39="","",YEAR(DATEVALUE(TEXT(A39,"yyyy-mm-dd"))))</f>
        <v/>
      </c>
      <c r="N39" s="11">
        <f>IF(A39="","",TEXT(DATEVALUE(TEXT(A39,"yyyy-mm-dd")),"yyyy-mm"))</f>
        <v/>
      </c>
      <c r="O39" s="11" t="n"/>
    </row>
    <row r="40">
      <c r="A40" s="62" t="n"/>
      <c r="B40" s="11" t="n"/>
      <c r="C40" s="11" t="n"/>
      <c r="D40" s="11" t="n"/>
      <c r="E40" s="44" t="n">
        <v>30</v>
      </c>
      <c r="F40" s="45">
        <f>IF(B40="","",VLOOKUP(B40,Job_Settings!$A$5:$C$15,2,FALSE))</f>
        <v/>
      </c>
      <c r="G40" s="46">
        <f>IF(B40="","",VLOOKUP(B40,Job_Settings!$A$5:$C$15,3,FALSE))</f>
        <v/>
      </c>
      <c r="H40" s="65">
        <f>IF(OR(C40="",D40=""),"",ROUND((IF(ISNUMBER(D40),D40,TIMEVALUE(D40))-IF(ISNUMBER(C40),C40,TIMEVALUE(C40)))*24-(E40/60), 2))</f>
        <v/>
      </c>
      <c r="I40" s="45">
        <f>IF(OR(H40="",F40=""),"",ROUND(H40*F40, 2))</f>
        <v/>
      </c>
      <c r="J40" s="45">
        <f>IF(OR(I40="",G40=""),"",ROUND(I40*G40, 2))</f>
        <v/>
      </c>
      <c r="K40" s="45">
        <f>IF(OR(I40="",J40=""),"",ROUND(I40-J40, 2))</f>
        <v/>
      </c>
      <c r="L40" s="48">
        <f>IF(A40="","",ISOWEEKNUM(DATEVALUE(TEXT(A40,"yyyy-mm-dd"))))</f>
        <v/>
      </c>
      <c r="M40" s="48">
        <f>IF(A40="","",YEAR(DATEVALUE(TEXT(A40,"yyyy-mm-dd"))))</f>
        <v/>
      </c>
      <c r="N40" s="11">
        <f>IF(A40="","",TEXT(DATEVALUE(TEXT(A40,"yyyy-mm-dd")),"yyyy-mm"))</f>
        <v/>
      </c>
      <c r="O40" s="11" t="n"/>
    </row>
    <row r="41">
      <c r="A41" s="62" t="n"/>
      <c r="B41" s="11" t="n"/>
      <c r="C41" s="11" t="n"/>
      <c r="D41" s="11" t="n"/>
      <c r="E41" s="44" t="n">
        <v>30</v>
      </c>
      <c r="F41" s="45">
        <f>IF(B41="","",VLOOKUP(B41,Job_Settings!$A$5:$C$15,2,FALSE))</f>
        <v/>
      </c>
      <c r="G41" s="46">
        <f>IF(B41="","",VLOOKUP(B41,Job_Settings!$A$5:$C$15,3,FALSE))</f>
        <v/>
      </c>
      <c r="H41" s="65">
        <f>IF(OR(C41="",D41=""),"",ROUND((IF(ISNUMBER(D41),D41,TIMEVALUE(D41))-IF(ISNUMBER(C41),C41,TIMEVALUE(C41)))*24-(E41/60), 2))</f>
        <v/>
      </c>
      <c r="I41" s="45">
        <f>IF(OR(H41="",F41=""),"",ROUND(H41*F41, 2))</f>
        <v/>
      </c>
      <c r="J41" s="45">
        <f>IF(OR(I41="",G41=""),"",ROUND(I41*G41, 2))</f>
        <v/>
      </c>
      <c r="K41" s="45">
        <f>IF(OR(I41="",J41=""),"",ROUND(I41-J41, 2))</f>
        <v/>
      </c>
      <c r="L41" s="48">
        <f>IF(A41="","",ISOWEEKNUM(DATEVALUE(TEXT(A41,"yyyy-mm-dd"))))</f>
        <v/>
      </c>
      <c r="M41" s="48">
        <f>IF(A41="","",YEAR(DATEVALUE(TEXT(A41,"yyyy-mm-dd"))))</f>
        <v/>
      </c>
      <c r="N41" s="11">
        <f>IF(A41="","",TEXT(DATEVALUE(TEXT(A41,"yyyy-mm-dd")),"yyyy-mm"))</f>
        <v/>
      </c>
      <c r="O41" s="11" t="n"/>
    </row>
    <row r="42">
      <c r="A42" s="62" t="n"/>
      <c r="B42" s="11" t="n"/>
      <c r="C42" s="11" t="n"/>
      <c r="D42" s="11" t="n"/>
      <c r="E42" s="44" t="n">
        <v>30</v>
      </c>
      <c r="F42" s="45">
        <f>IF(B42="","",VLOOKUP(B42,Job_Settings!$A$5:$C$15,2,FALSE))</f>
        <v/>
      </c>
      <c r="G42" s="46">
        <f>IF(B42="","",VLOOKUP(B42,Job_Settings!$A$5:$C$15,3,FALSE))</f>
        <v/>
      </c>
      <c r="H42" s="65">
        <f>IF(OR(C42="",D42=""),"",ROUND((IF(ISNUMBER(D42),D42,TIMEVALUE(D42))-IF(ISNUMBER(C42),C42,TIMEVALUE(C42)))*24-(E42/60), 2))</f>
        <v/>
      </c>
      <c r="I42" s="45">
        <f>IF(OR(H42="",F42=""),"",ROUND(H42*F42, 2))</f>
        <v/>
      </c>
      <c r="J42" s="45">
        <f>IF(OR(I42="",G42=""),"",ROUND(I42*G42, 2))</f>
        <v/>
      </c>
      <c r="K42" s="45">
        <f>IF(OR(I42="",J42=""),"",ROUND(I42-J42, 2))</f>
        <v/>
      </c>
      <c r="L42" s="48">
        <f>IF(A42="","",ISOWEEKNUM(DATEVALUE(TEXT(A42,"yyyy-mm-dd"))))</f>
        <v/>
      </c>
      <c r="M42" s="48">
        <f>IF(A42="","",YEAR(DATEVALUE(TEXT(A42,"yyyy-mm-dd"))))</f>
        <v/>
      </c>
      <c r="N42" s="11">
        <f>IF(A42="","",TEXT(DATEVALUE(TEXT(A42,"yyyy-mm-dd")),"yyyy-mm"))</f>
        <v/>
      </c>
      <c r="O42" s="11" t="n"/>
    </row>
    <row r="43">
      <c r="A43" s="62" t="n"/>
      <c r="B43" s="11" t="n"/>
      <c r="C43" s="11" t="n"/>
      <c r="D43" s="11" t="n"/>
      <c r="E43" s="44" t="n">
        <v>30</v>
      </c>
      <c r="F43" s="45">
        <f>IF(B43="","",VLOOKUP(B43,Job_Settings!$A$5:$C$15,2,FALSE))</f>
        <v/>
      </c>
      <c r="G43" s="46">
        <f>IF(B43="","",VLOOKUP(B43,Job_Settings!$A$5:$C$15,3,FALSE))</f>
        <v/>
      </c>
      <c r="H43" s="65">
        <f>IF(OR(C43="",D43=""),"",ROUND((IF(ISNUMBER(D43),D43,TIMEVALUE(D43))-IF(ISNUMBER(C43),C43,TIMEVALUE(C43)))*24-(E43/60), 2))</f>
        <v/>
      </c>
      <c r="I43" s="45">
        <f>IF(OR(H43="",F43=""),"",ROUND(H43*F43, 2))</f>
        <v/>
      </c>
      <c r="J43" s="45">
        <f>IF(OR(I43="",G43=""),"",ROUND(I43*G43, 2))</f>
        <v/>
      </c>
      <c r="K43" s="45">
        <f>IF(OR(I43="",J43=""),"",ROUND(I43-J43, 2))</f>
        <v/>
      </c>
      <c r="L43" s="48">
        <f>IF(A43="","",ISOWEEKNUM(DATEVALUE(TEXT(A43,"yyyy-mm-dd"))))</f>
        <v/>
      </c>
      <c r="M43" s="48">
        <f>IF(A43="","",YEAR(DATEVALUE(TEXT(A43,"yyyy-mm-dd"))))</f>
        <v/>
      </c>
      <c r="N43" s="11">
        <f>IF(A43="","",TEXT(DATEVALUE(TEXT(A43,"yyyy-mm-dd")),"yyyy-mm"))</f>
        <v/>
      </c>
      <c r="O43" s="11" t="n"/>
    </row>
    <row r="44">
      <c r="A44" s="62" t="n"/>
      <c r="B44" s="11" t="n"/>
      <c r="C44" s="11" t="n"/>
      <c r="D44" s="11" t="n"/>
      <c r="E44" s="44" t="n">
        <v>30</v>
      </c>
      <c r="F44" s="45">
        <f>IF(B44="","",VLOOKUP(B44,Job_Settings!$A$5:$C$15,2,FALSE))</f>
        <v/>
      </c>
      <c r="G44" s="46">
        <f>IF(B44="","",VLOOKUP(B44,Job_Settings!$A$5:$C$15,3,FALSE))</f>
        <v/>
      </c>
      <c r="H44" s="65">
        <f>IF(OR(C44="",D44=""),"",ROUND((IF(ISNUMBER(D44),D44,TIMEVALUE(D44))-IF(ISNUMBER(C44),C44,TIMEVALUE(C44)))*24-(E44/60), 2))</f>
        <v/>
      </c>
      <c r="I44" s="45">
        <f>IF(OR(H44="",F44=""),"",ROUND(H44*F44, 2))</f>
        <v/>
      </c>
      <c r="J44" s="45">
        <f>IF(OR(I44="",G44=""),"",ROUND(I44*G44, 2))</f>
        <v/>
      </c>
      <c r="K44" s="45">
        <f>IF(OR(I44="",J44=""),"",ROUND(I44-J44, 2))</f>
        <v/>
      </c>
      <c r="L44" s="48">
        <f>IF(A44="","",ISOWEEKNUM(DATEVALUE(TEXT(A44,"yyyy-mm-dd"))))</f>
        <v/>
      </c>
      <c r="M44" s="48">
        <f>IF(A44="","",YEAR(DATEVALUE(TEXT(A44,"yyyy-mm-dd"))))</f>
        <v/>
      </c>
      <c r="N44" s="11">
        <f>IF(A44="","",TEXT(DATEVALUE(TEXT(A44,"yyyy-mm-dd")),"yyyy-mm"))</f>
        <v/>
      </c>
      <c r="O44" s="11" t="n"/>
    </row>
    <row r="45">
      <c r="A45" s="62" t="n"/>
      <c r="B45" s="11" t="n"/>
      <c r="C45" s="11" t="n"/>
      <c r="D45" s="11" t="n"/>
      <c r="E45" s="44" t="n">
        <v>30</v>
      </c>
      <c r="F45" s="45">
        <f>IF(B45="","",VLOOKUP(B45,Job_Settings!$A$5:$C$15,2,FALSE))</f>
        <v/>
      </c>
      <c r="G45" s="46">
        <f>IF(B45="","",VLOOKUP(B45,Job_Settings!$A$5:$C$15,3,FALSE))</f>
        <v/>
      </c>
      <c r="H45" s="65">
        <f>IF(OR(C45="",D45=""),"",ROUND((IF(ISNUMBER(D45),D45,TIMEVALUE(D45))-IF(ISNUMBER(C45),C45,TIMEVALUE(C45)))*24-(E45/60), 2))</f>
        <v/>
      </c>
      <c r="I45" s="45">
        <f>IF(OR(H45="",F45=""),"",ROUND(H45*F45, 2))</f>
        <v/>
      </c>
      <c r="J45" s="45">
        <f>IF(OR(I45="",G45=""),"",ROUND(I45*G45, 2))</f>
        <v/>
      </c>
      <c r="K45" s="45">
        <f>IF(OR(I45="",J45=""),"",ROUND(I45-J45, 2))</f>
        <v/>
      </c>
      <c r="L45" s="48">
        <f>IF(A45="","",ISOWEEKNUM(DATEVALUE(TEXT(A45,"yyyy-mm-dd"))))</f>
        <v/>
      </c>
      <c r="M45" s="48">
        <f>IF(A45="","",YEAR(DATEVALUE(TEXT(A45,"yyyy-mm-dd"))))</f>
        <v/>
      </c>
      <c r="N45" s="11">
        <f>IF(A45="","",TEXT(DATEVALUE(TEXT(A45,"yyyy-mm-dd")),"yyyy-mm"))</f>
        <v/>
      </c>
      <c r="O45" s="11" t="n"/>
    </row>
    <row r="46">
      <c r="A46" s="62" t="n"/>
      <c r="B46" s="11" t="n"/>
      <c r="C46" s="11" t="n"/>
      <c r="D46" s="11" t="n"/>
      <c r="E46" s="44" t="n">
        <v>30</v>
      </c>
      <c r="F46" s="45">
        <f>IF(B46="","",VLOOKUP(B46,Job_Settings!$A$5:$C$15,2,FALSE))</f>
        <v/>
      </c>
      <c r="G46" s="46">
        <f>IF(B46="","",VLOOKUP(B46,Job_Settings!$A$5:$C$15,3,FALSE))</f>
        <v/>
      </c>
      <c r="H46" s="65">
        <f>IF(OR(C46="",D46=""),"",ROUND((IF(ISNUMBER(D46),D46,TIMEVALUE(D46))-IF(ISNUMBER(C46),C46,TIMEVALUE(C46)))*24-(E46/60), 2))</f>
        <v/>
      </c>
      <c r="I46" s="45">
        <f>IF(OR(H46="",F46=""),"",ROUND(H46*F46, 2))</f>
        <v/>
      </c>
      <c r="J46" s="45">
        <f>IF(OR(I46="",G46=""),"",ROUND(I46*G46, 2))</f>
        <v/>
      </c>
      <c r="K46" s="45">
        <f>IF(OR(I46="",J46=""),"",ROUND(I46-J46, 2))</f>
        <v/>
      </c>
      <c r="L46" s="48">
        <f>IF(A46="","",ISOWEEKNUM(DATEVALUE(TEXT(A46,"yyyy-mm-dd"))))</f>
        <v/>
      </c>
      <c r="M46" s="48">
        <f>IF(A46="","",YEAR(DATEVALUE(TEXT(A46,"yyyy-mm-dd"))))</f>
        <v/>
      </c>
      <c r="N46" s="11">
        <f>IF(A46="","",TEXT(DATEVALUE(TEXT(A46,"yyyy-mm-dd")),"yyyy-mm"))</f>
        <v/>
      </c>
      <c r="O46" s="11" t="n"/>
    </row>
    <row r="47">
      <c r="A47" s="62" t="n"/>
      <c r="B47" s="11" t="n"/>
      <c r="C47" s="11" t="n"/>
      <c r="D47" s="11" t="n"/>
      <c r="E47" s="44" t="n">
        <v>30</v>
      </c>
      <c r="F47" s="45">
        <f>IF(B47="","",VLOOKUP(B47,Job_Settings!$A$5:$C$15,2,FALSE))</f>
        <v/>
      </c>
      <c r="G47" s="46">
        <f>IF(B47="","",VLOOKUP(B47,Job_Settings!$A$5:$C$15,3,FALSE))</f>
        <v/>
      </c>
      <c r="H47" s="65">
        <f>IF(OR(C47="",D47=""),"",ROUND((IF(ISNUMBER(D47),D47,TIMEVALUE(D47))-IF(ISNUMBER(C47),C47,TIMEVALUE(C47)))*24-(E47/60), 2))</f>
        <v/>
      </c>
      <c r="I47" s="45">
        <f>IF(OR(H47="",F47=""),"",ROUND(H47*F47, 2))</f>
        <v/>
      </c>
      <c r="J47" s="45">
        <f>IF(OR(I47="",G47=""),"",ROUND(I47*G47, 2))</f>
        <v/>
      </c>
      <c r="K47" s="45">
        <f>IF(OR(I47="",J47=""),"",ROUND(I47-J47, 2))</f>
        <v/>
      </c>
      <c r="L47" s="48">
        <f>IF(A47="","",ISOWEEKNUM(DATEVALUE(TEXT(A47,"yyyy-mm-dd"))))</f>
        <v/>
      </c>
      <c r="M47" s="48">
        <f>IF(A47="","",YEAR(DATEVALUE(TEXT(A47,"yyyy-mm-dd"))))</f>
        <v/>
      </c>
      <c r="N47" s="11">
        <f>IF(A47="","",TEXT(DATEVALUE(TEXT(A47,"yyyy-mm-dd")),"yyyy-mm"))</f>
        <v/>
      </c>
      <c r="O47" s="11" t="n"/>
    </row>
    <row r="48">
      <c r="A48" s="62" t="n"/>
      <c r="B48" s="11" t="n"/>
      <c r="C48" s="11" t="n"/>
      <c r="D48" s="11" t="n"/>
      <c r="E48" s="44" t="n">
        <v>30</v>
      </c>
      <c r="F48" s="45">
        <f>IF(B48="","",VLOOKUP(B48,Job_Settings!$A$5:$C$15,2,FALSE))</f>
        <v/>
      </c>
      <c r="G48" s="46">
        <f>IF(B48="","",VLOOKUP(B48,Job_Settings!$A$5:$C$15,3,FALSE))</f>
        <v/>
      </c>
      <c r="H48" s="65">
        <f>IF(OR(C48="",D48=""),"",ROUND((IF(ISNUMBER(D48),D48,TIMEVALUE(D48))-IF(ISNUMBER(C48),C48,TIMEVALUE(C48)))*24-(E48/60), 2))</f>
        <v/>
      </c>
      <c r="I48" s="45">
        <f>IF(OR(H48="",F48=""),"",ROUND(H48*F48, 2))</f>
        <v/>
      </c>
      <c r="J48" s="45">
        <f>IF(OR(I48="",G48=""),"",ROUND(I48*G48, 2))</f>
        <v/>
      </c>
      <c r="K48" s="45">
        <f>IF(OR(I48="",J48=""),"",ROUND(I48-J48, 2))</f>
        <v/>
      </c>
      <c r="L48" s="48">
        <f>IF(A48="","",ISOWEEKNUM(DATEVALUE(TEXT(A48,"yyyy-mm-dd"))))</f>
        <v/>
      </c>
      <c r="M48" s="48">
        <f>IF(A48="","",YEAR(DATEVALUE(TEXT(A48,"yyyy-mm-dd"))))</f>
        <v/>
      </c>
      <c r="N48" s="11">
        <f>IF(A48="","",TEXT(DATEVALUE(TEXT(A48,"yyyy-mm-dd")),"yyyy-mm"))</f>
        <v/>
      </c>
      <c r="O48" s="11" t="n"/>
    </row>
    <row r="49">
      <c r="A49" s="62" t="n"/>
      <c r="B49" s="11" t="n"/>
      <c r="C49" s="11" t="n"/>
      <c r="D49" s="11" t="n"/>
      <c r="E49" s="44" t="n">
        <v>30</v>
      </c>
      <c r="F49" s="45">
        <f>IF(B49="","",VLOOKUP(B49,Job_Settings!$A$5:$C$15,2,FALSE))</f>
        <v/>
      </c>
      <c r="G49" s="46">
        <f>IF(B49="","",VLOOKUP(B49,Job_Settings!$A$5:$C$15,3,FALSE))</f>
        <v/>
      </c>
      <c r="H49" s="65">
        <f>IF(OR(C49="",D49=""),"",ROUND((IF(ISNUMBER(D49),D49,TIMEVALUE(D49))-IF(ISNUMBER(C49),C49,TIMEVALUE(C49)))*24-(E49/60), 2))</f>
        <v/>
      </c>
      <c r="I49" s="45">
        <f>IF(OR(H49="",F49=""),"",ROUND(H49*F49, 2))</f>
        <v/>
      </c>
      <c r="J49" s="45">
        <f>IF(OR(I49="",G49=""),"",ROUND(I49*G49, 2))</f>
        <v/>
      </c>
      <c r="K49" s="45">
        <f>IF(OR(I49="",J49=""),"",ROUND(I49-J49, 2))</f>
        <v/>
      </c>
      <c r="L49" s="48">
        <f>IF(A49="","",ISOWEEKNUM(DATEVALUE(TEXT(A49,"yyyy-mm-dd"))))</f>
        <v/>
      </c>
      <c r="M49" s="48">
        <f>IF(A49="","",YEAR(DATEVALUE(TEXT(A49,"yyyy-mm-dd"))))</f>
        <v/>
      </c>
      <c r="N49" s="11">
        <f>IF(A49="","",TEXT(DATEVALUE(TEXT(A49,"yyyy-mm-dd")),"yyyy-mm"))</f>
        <v/>
      </c>
      <c r="O49" s="11" t="n"/>
    </row>
    <row r="50">
      <c r="A50" s="62" t="n"/>
      <c r="B50" s="11" t="n"/>
      <c r="C50" s="11" t="n"/>
      <c r="D50" s="11" t="n"/>
      <c r="E50" s="44" t="n">
        <v>30</v>
      </c>
      <c r="F50" s="45">
        <f>IF(B50="","",VLOOKUP(B50,Job_Settings!$A$5:$C$15,2,FALSE))</f>
        <v/>
      </c>
      <c r="G50" s="46">
        <f>IF(B50="","",VLOOKUP(B50,Job_Settings!$A$5:$C$15,3,FALSE))</f>
        <v/>
      </c>
      <c r="H50" s="65">
        <f>IF(OR(C50="",D50=""),"",ROUND((IF(ISNUMBER(D50),D50,TIMEVALUE(D50))-IF(ISNUMBER(C50),C50,TIMEVALUE(C50)))*24-(E50/60), 2))</f>
        <v/>
      </c>
      <c r="I50" s="45">
        <f>IF(OR(H50="",F50=""),"",ROUND(H50*F50, 2))</f>
        <v/>
      </c>
      <c r="J50" s="45">
        <f>IF(OR(I50="",G50=""),"",ROUND(I50*G50, 2))</f>
        <v/>
      </c>
      <c r="K50" s="45">
        <f>IF(OR(I50="",J50=""),"",ROUND(I50-J50, 2))</f>
        <v/>
      </c>
      <c r="L50" s="48">
        <f>IF(A50="","",ISOWEEKNUM(DATEVALUE(TEXT(A50,"yyyy-mm-dd"))))</f>
        <v/>
      </c>
      <c r="M50" s="48">
        <f>IF(A50="","",YEAR(DATEVALUE(TEXT(A50,"yyyy-mm-dd"))))</f>
        <v/>
      </c>
      <c r="N50" s="11">
        <f>IF(A50="","",TEXT(DATEVALUE(TEXT(A50,"yyyy-mm-dd")),"yyyy-mm"))</f>
        <v/>
      </c>
      <c r="O50" s="11" t="n"/>
    </row>
    <row r="51">
      <c r="A51" s="62" t="n"/>
      <c r="B51" s="11" t="n"/>
      <c r="C51" s="11" t="n"/>
      <c r="D51" s="11" t="n"/>
      <c r="E51" s="44" t="n">
        <v>30</v>
      </c>
      <c r="F51" s="45">
        <f>IF(B51="","",VLOOKUP(B51,Job_Settings!$A$5:$C$15,2,FALSE))</f>
        <v/>
      </c>
      <c r="G51" s="46">
        <f>IF(B51="","",VLOOKUP(B51,Job_Settings!$A$5:$C$15,3,FALSE))</f>
        <v/>
      </c>
      <c r="H51" s="65">
        <f>IF(OR(C51="",D51=""),"",ROUND((IF(ISNUMBER(D51),D51,TIMEVALUE(D51))-IF(ISNUMBER(C51),C51,TIMEVALUE(C51)))*24-(E51/60), 2))</f>
        <v/>
      </c>
      <c r="I51" s="45">
        <f>IF(OR(H51="",F51=""),"",ROUND(H51*F51, 2))</f>
        <v/>
      </c>
      <c r="J51" s="45">
        <f>IF(OR(I51="",G51=""),"",ROUND(I51*G51, 2))</f>
        <v/>
      </c>
      <c r="K51" s="45">
        <f>IF(OR(I51="",J51=""),"",ROUND(I51-J51, 2))</f>
        <v/>
      </c>
      <c r="L51" s="48">
        <f>IF(A51="","",ISOWEEKNUM(DATEVALUE(TEXT(A51,"yyyy-mm-dd"))))</f>
        <v/>
      </c>
      <c r="M51" s="48">
        <f>IF(A51="","",YEAR(DATEVALUE(TEXT(A51,"yyyy-mm-dd"))))</f>
        <v/>
      </c>
      <c r="N51" s="11">
        <f>IF(A51="","",TEXT(DATEVALUE(TEXT(A51,"yyyy-mm-dd")),"yyyy-mm"))</f>
        <v/>
      </c>
      <c r="O51" s="11" t="n"/>
    </row>
    <row r="52">
      <c r="A52" s="62" t="n"/>
      <c r="B52" s="11" t="n"/>
      <c r="C52" s="11" t="n"/>
      <c r="D52" s="11" t="n"/>
      <c r="E52" s="44" t="n">
        <v>30</v>
      </c>
      <c r="F52" s="45">
        <f>IF(B52="","",VLOOKUP(B52,Job_Settings!$A$5:$C$15,2,FALSE))</f>
        <v/>
      </c>
      <c r="G52" s="46">
        <f>IF(B52="","",VLOOKUP(B52,Job_Settings!$A$5:$C$15,3,FALSE))</f>
        <v/>
      </c>
      <c r="H52" s="65">
        <f>IF(OR(C52="",D52=""),"",ROUND((IF(ISNUMBER(D52),D52,TIMEVALUE(D52))-IF(ISNUMBER(C52),C52,TIMEVALUE(C52)))*24-(E52/60), 2))</f>
        <v/>
      </c>
      <c r="I52" s="45">
        <f>IF(OR(H52="",F52=""),"",ROUND(H52*F52, 2))</f>
        <v/>
      </c>
      <c r="J52" s="45">
        <f>IF(OR(I52="",G52=""),"",ROUND(I52*G52, 2))</f>
        <v/>
      </c>
      <c r="K52" s="45">
        <f>IF(OR(I52="",J52=""),"",ROUND(I52-J52, 2))</f>
        <v/>
      </c>
      <c r="L52" s="48">
        <f>IF(A52="","",ISOWEEKNUM(DATEVALUE(TEXT(A52,"yyyy-mm-dd"))))</f>
        <v/>
      </c>
      <c r="M52" s="48">
        <f>IF(A52="","",YEAR(DATEVALUE(TEXT(A52,"yyyy-mm-dd"))))</f>
        <v/>
      </c>
      <c r="N52" s="11">
        <f>IF(A52="","",TEXT(DATEVALUE(TEXT(A52,"yyyy-mm-dd")),"yyyy-mm"))</f>
        <v/>
      </c>
      <c r="O52" s="11" t="n"/>
    </row>
    <row r="53">
      <c r="A53" s="62" t="n"/>
      <c r="B53" s="11" t="n"/>
      <c r="C53" s="11" t="n"/>
      <c r="D53" s="11" t="n"/>
      <c r="E53" s="44" t="n">
        <v>30</v>
      </c>
      <c r="F53" s="45">
        <f>IF(B53="","",VLOOKUP(B53,Job_Settings!$A$5:$C$15,2,FALSE))</f>
        <v/>
      </c>
      <c r="G53" s="46">
        <f>IF(B53="","",VLOOKUP(B53,Job_Settings!$A$5:$C$15,3,FALSE))</f>
        <v/>
      </c>
      <c r="H53" s="65">
        <f>IF(OR(C53="",D53=""),"",ROUND((IF(ISNUMBER(D53),D53,TIMEVALUE(D53))-IF(ISNUMBER(C53),C53,TIMEVALUE(C53)))*24-(E53/60), 2))</f>
        <v/>
      </c>
      <c r="I53" s="45">
        <f>IF(OR(H53="",F53=""),"",ROUND(H53*F53, 2))</f>
        <v/>
      </c>
      <c r="J53" s="45">
        <f>IF(OR(I53="",G53=""),"",ROUND(I53*G53, 2))</f>
        <v/>
      </c>
      <c r="K53" s="45">
        <f>IF(OR(I53="",J53=""),"",ROUND(I53-J53, 2))</f>
        <v/>
      </c>
      <c r="L53" s="48">
        <f>IF(A53="","",ISOWEEKNUM(DATEVALUE(TEXT(A53,"yyyy-mm-dd"))))</f>
        <v/>
      </c>
      <c r="M53" s="48">
        <f>IF(A53="","",YEAR(DATEVALUE(TEXT(A53,"yyyy-mm-dd"))))</f>
        <v/>
      </c>
      <c r="N53" s="11">
        <f>IF(A53="","",TEXT(DATEVALUE(TEXT(A53,"yyyy-mm-dd")),"yyyy-mm"))</f>
        <v/>
      </c>
      <c r="O53" s="11" t="n"/>
    </row>
    <row r="54">
      <c r="A54" s="62" t="n"/>
      <c r="B54" s="11" t="n"/>
      <c r="C54" s="11" t="n"/>
      <c r="D54" s="11" t="n"/>
      <c r="E54" s="44" t="n">
        <v>30</v>
      </c>
      <c r="F54" s="45">
        <f>IF(B54="","",VLOOKUP(B54,Job_Settings!$A$5:$C$15,2,FALSE))</f>
        <v/>
      </c>
      <c r="G54" s="46">
        <f>IF(B54="","",VLOOKUP(B54,Job_Settings!$A$5:$C$15,3,FALSE))</f>
        <v/>
      </c>
      <c r="H54" s="65">
        <f>IF(OR(C54="",D54=""),"",ROUND((IF(ISNUMBER(D54),D54,TIMEVALUE(D54))-IF(ISNUMBER(C54),C54,TIMEVALUE(C54)))*24-(E54/60), 2))</f>
        <v/>
      </c>
      <c r="I54" s="45">
        <f>IF(OR(H54="",F54=""),"",ROUND(H54*F54, 2))</f>
        <v/>
      </c>
      <c r="J54" s="45">
        <f>IF(OR(I54="",G54=""),"",ROUND(I54*G54, 2))</f>
        <v/>
      </c>
      <c r="K54" s="45">
        <f>IF(OR(I54="",J54=""),"",ROUND(I54-J54, 2))</f>
        <v/>
      </c>
      <c r="L54" s="48">
        <f>IF(A54="","",ISOWEEKNUM(DATEVALUE(TEXT(A54,"yyyy-mm-dd"))))</f>
        <v/>
      </c>
      <c r="M54" s="48">
        <f>IF(A54="","",YEAR(DATEVALUE(TEXT(A54,"yyyy-mm-dd"))))</f>
        <v/>
      </c>
      <c r="N54" s="11">
        <f>IF(A54="","",TEXT(DATEVALUE(TEXT(A54,"yyyy-mm-dd")),"yyyy-mm"))</f>
        <v/>
      </c>
      <c r="O54" s="11" t="n"/>
    </row>
    <row r="55">
      <c r="A55" s="62" t="n"/>
      <c r="B55" s="11" t="n"/>
      <c r="C55" s="11" t="n"/>
      <c r="D55" s="11" t="n"/>
      <c r="E55" s="44" t="n">
        <v>30</v>
      </c>
      <c r="F55" s="45">
        <f>IF(B55="","",VLOOKUP(B55,Job_Settings!$A$5:$C$15,2,FALSE))</f>
        <v/>
      </c>
      <c r="G55" s="46">
        <f>IF(B55="","",VLOOKUP(B55,Job_Settings!$A$5:$C$15,3,FALSE))</f>
        <v/>
      </c>
      <c r="H55" s="65">
        <f>IF(OR(C55="",D55=""),"",ROUND((IF(ISNUMBER(D55),D55,TIMEVALUE(D55))-IF(ISNUMBER(C55),C55,TIMEVALUE(C55)))*24-(E55/60), 2))</f>
        <v/>
      </c>
      <c r="I55" s="45">
        <f>IF(OR(H55="",F55=""),"",ROUND(H55*F55, 2))</f>
        <v/>
      </c>
      <c r="J55" s="45">
        <f>IF(OR(I55="",G55=""),"",ROUND(I55*G55, 2))</f>
        <v/>
      </c>
      <c r="K55" s="45">
        <f>IF(OR(I55="",J55=""),"",ROUND(I55-J55, 2))</f>
        <v/>
      </c>
      <c r="L55" s="48">
        <f>IF(A55="","",ISOWEEKNUM(DATEVALUE(TEXT(A55,"yyyy-mm-dd"))))</f>
        <v/>
      </c>
      <c r="M55" s="48">
        <f>IF(A55="","",YEAR(DATEVALUE(TEXT(A55,"yyyy-mm-dd"))))</f>
        <v/>
      </c>
      <c r="N55" s="11">
        <f>IF(A55="","",TEXT(DATEVALUE(TEXT(A55,"yyyy-mm-dd")),"yyyy-mm"))</f>
        <v/>
      </c>
      <c r="O55" s="11" t="n"/>
    </row>
    <row r="56">
      <c r="A56" s="62" t="n"/>
      <c r="B56" s="11" t="n"/>
      <c r="C56" s="11" t="n"/>
      <c r="D56" s="11" t="n"/>
      <c r="E56" s="44" t="n">
        <v>30</v>
      </c>
      <c r="F56" s="45">
        <f>IF(B56="","",VLOOKUP(B56,Job_Settings!$A$5:$C$15,2,FALSE))</f>
        <v/>
      </c>
      <c r="G56" s="46">
        <f>IF(B56="","",VLOOKUP(B56,Job_Settings!$A$5:$C$15,3,FALSE))</f>
        <v/>
      </c>
      <c r="H56" s="65">
        <f>IF(OR(C56="",D56=""),"",ROUND((IF(ISNUMBER(D56),D56,TIMEVALUE(D56))-IF(ISNUMBER(C56),C56,TIMEVALUE(C56)))*24-(E56/60), 2))</f>
        <v/>
      </c>
      <c r="I56" s="45">
        <f>IF(OR(H56="",F56=""),"",ROUND(H56*F56, 2))</f>
        <v/>
      </c>
      <c r="J56" s="45">
        <f>IF(OR(I56="",G56=""),"",ROUND(I56*G56, 2))</f>
        <v/>
      </c>
      <c r="K56" s="45">
        <f>IF(OR(I56="",J56=""),"",ROUND(I56-J56, 2))</f>
        <v/>
      </c>
      <c r="L56" s="48">
        <f>IF(A56="","",ISOWEEKNUM(DATEVALUE(TEXT(A56,"yyyy-mm-dd"))))</f>
        <v/>
      </c>
      <c r="M56" s="48">
        <f>IF(A56="","",YEAR(DATEVALUE(TEXT(A56,"yyyy-mm-dd"))))</f>
        <v/>
      </c>
      <c r="N56" s="11">
        <f>IF(A56="","",TEXT(DATEVALUE(TEXT(A56,"yyyy-mm-dd")),"yyyy-mm"))</f>
        <v/>
      </c>
      <c r="O56" s="11" t="n"/>
    </row>
    <row r="57">
      <c r="A57" s="62" t="n"/>
      <c r="B57" s="11" t="n"/>
      <c r="C57" s="11" t="n"/>
      <c r="D57" s="11" t="n"/>
      <c r="E57" s="44" t="n">
        <v>30</v>
      </c>
      <c r="F57" s="45">
        <f>IF(B57="","",VLOOKUP(B57,Job_Settings!$A$5:$C$15,2,FALSE))</f>
        <v/>
      </c>
      <c r="G57" s="46">
        <f>IF(B57="","",VLOOKUP(B57,Job_Settings!$A$5:$C$15,3,FALSE))</f>
        <v/>
      </c>
      <c r="H57" s="65">
        <f>IF(OR(C57="",D57=""),"",ROUND((IF(ISNUMBER(D57),D57,TIMEVALUE(D57))-IF(ISNUMBER(C57),C57,TIMEVALUE(C57)))*24-(E57/60), 2))</f>
        <v/>
      </c>
      <c r="I57" s="45">
        <f>IF(OR(H57="",F57=""),"",ROUND(H57*F57, 2))</f>
        <v/>
      </c>
      <c r="J57" s="45">
        <f>IF(OR(I57="",G57=""),"",ROUND(I57*G57, 2))</f>
        <v/>
      </c>
      <c r="K57" s="45">
        <f>IF(OR(I57="",J57=""),"",ROUND(I57-J57, 2))</f>
        <v/>
      </c>
      <c r="L57" s="48">
        <f>IF(A57="","",ISOWEEKNUM(DATEVALUE(TEXT(A57,"yyyy-mm-dd"))))</f>
        <v/>
      </c>
      <c r="M57" s="48">
        <f>IF(A57="","",YEAR(DATEVALUE(TEXT(A57,"yyyy-mm-dd"))))</f>
        <v/>
      </c>
      <c r="N57" s="11">
        <f>IF(A57="","",TEXT(DATEVALUE(TEXT(A57,"yyyy-mm-dd")),"yyyy-mm"))</f>
        <v/>
      </c>
      <c r="O57" s="11" t="n"/>
    </row>
    <row r="58">
      <c r="A58" s="62" t="n"/>
      <c r="B58" s="11" t="n"/>
      <c r="C58" s="11" t="n"/>
      <c r="D58" s="11" t="n"/>
      <c r="E58" s="44" t="n">
        <v>30</v>
      </c>
      <c r="F58" s="45">
        <f>IF(B58="","",VLOOKUP(B58,Job_Settings!$A$5:$C$15,2,FALSE))</f>
        <v/>
      </c>
      <c r="G58" s="46">
        <f>IF(B58="","",VLOOKUP(B58,Job_Settings!$A$5:$C$15,3,FALSE))</f>
        <v/>
      </c>
      <c r="H58" s="65">
        <f>IF(OR(C58="",D58=""),"",ROUND((IF(ISNUMBER(D58),D58,TIMEVALUE(D58))-IF(ISNUMBER(C58),C58,TIMEVALUE(C58)))*24-(E58/60), 2))</f>
        <v/>
      </c>
      <c r="I58" s="45">
        <f>IF(OR(H58="",F58=""),"",ROUND(H58*F58, 2))</f>
        <v/>
      </c>
      <c r="J58" s="45">
        <f>IF(OR(I58="",G58=""),"",ROUND(I58*G58, 2))</f>
        <v/>
      </c>
      <c r="K58" s="45">
        <f>IF(OR(I58="",J58=""),"",ROUND(I58-J58, 2))</f>
        <v/>
      </c>
      <c r="L58" s="48">
        <f>IF(A58="","",ISOWEEKNUM(DATEVALUE(TEXT(A58,"yyyy-mm-dd"))))</f>
        <v/>
      </c>
      <c r="M58" s="48">
        <f>IF(A58="","",YEAR(DATEVALUE(TEXT(A58,"yyyy-mm-dd"))))</f>
        <v/>
      </c>
      <c r="N58" s="11">
        <f>IF(A58="","",TEXT(DATEVALUE(TEXT(A58,"yyyy-mm-dd")),"yyyy-mm"))</f>
        <v/>
      </c>
      <c r="O58" s="11" t="n"/>
    </row>
    <row r="59">
      <c r="A59" s="62" t="n"/>
      <c r="B59" s="11" t="n"/>
      <c r="C59" s="11" t="n"/>
      <c r="D59" s="11" t="n"/>
      <c r="E59" s="44" t="n">
        <v>30</v>
      </c>
      <c r="F59" s="45">
        <f>IF(B59="","",VLOOKUP(B59,Job_Settings!$A$5:$C$15,2,FALSE))</f>
        <v/>
      </c>
      <c r="G59" s="46">
        <f>IF(B59="","",VLOOKUP(B59,Job_Settings!$A$5:$C$15,3,FALSE))</f>
        <v/>
      </c>
      <c r="H59" s="65">
        <f>IF(OR(C59="",D59=""),"",ROUND((IF(ISNUMBER(D59),D59,TIMEVALUE(D59))-IF(ISNUMBER(C59),C59,TIMEVALUE(C59)))*24-(E59/60), 2))</f>
        <v/>
      </c>
      <c r="I59" s="45">
        <f>IF(OR(H59="",F59=""),"",ROUND(H59*F59, 2))</f>
        <v/>
      </c>
      <c r="J59" s="45">
        <f>IF(OR(I59="",G59=""),"",ROUND(I59*G59, 2))</f>
        <v/>
      </c>
      <c r="K59" s="45">
        <f>IF(OR(I59="",J59=""),"",ROUND(I59-J59, 2))</f>
        <v/>
      </c>
      <c r="L59" s="48">
        <f>IF(A59="","",ISOWEEKNUM(DATEVALUE(TEXT(A59,"yyyy-mm-dd"))))</f>
        <v/>
      </c>
      <c r="M59" s="48">
        <f>IF(A59="","",YEAR(DATEVALUE(TEXT(A59,"yyyy-mm-dd"))))</f>
        <v/>
      </c>
      <c r="N59" s="11">
        <f>IF(A59="","",TEXT(DATEVALUE(TEXT(A59,"yyyy-mm-dd")),"yyyy-mm"))</f>
        <v/>
      </c>
      <c r="O59" s="11" t="n"/>
    </row>
    <row r="60">
      <c r="A60" s="62" t="n"/>
      <c r="B60" s="11" t="n"/>
      <c r="C60" s="11" t="n"/>
      <c r="D60" s="11" t="n"/>
      <c r="E60" s="44" t="n">
        <v>30</v>
      </c>
      <c r="F60" s="45">
        <f>IF(B60="","",VLOOKUP(B60,Job_Settings!$A$5:$C$15,2,FALSE))</f>
        <v/>
      </c>
      <c r="G60" s="46">
        <f>IF(B60="","",VLOOKUP(B60,Job_Settings!$A$5:$C$15,3,FALSE))</f>
        <v/>
      </c>
      <c r="H60" s="65">
        <f>IF(OR(C60="",D60=""),"",ROUND((IF(ISNUMBER(D60),D60,TIMEVALUE(D60))-IF(ISNUMBER(C60),C60,TIMEVALUE(C60)))*24-(E60/60), 2))</f>
        <v/>
      </c>
      <c r="I60" s="45">
        <f>IF(OR(H60="",F60=""),"",ROUND(H60*F60, 2))</f>
        <v/>
      </c>
      <c r="J60" s="45">
        <f>IF(OR(I60="",G60=""),"",ROUND(I60*G60, 2))</f>
        <v/>
      </c>
      <c r="K60" s="45">
        <f>IF(OR(I60="",J60=""),"",ROUND(I60-J60, 2))</f>
        <v/>
      </c>
      <c r="L60" s="48">
        <f>IF(A60="","",ISOWEEKNUM(DATEVALUE(TEXT(A60,"yyyy-mm-dd"))))</f>
        <v/>
      </c>
      <c r="M60" s="48">
        <f>IF(A60="","",YEAR(DATEVALUE(TEXT(A60,"yyyy-mm-dd"))))</f>
        <v/>
      </c>
      <c r="N60" s="11">
        <f>IF(A60="","",TEXT(DATEVALUE(TEXT(A60,"yyyy-mm-dd")),"yyyy-mm"))</f>
        <v/>
      </c>
      <c r="O60" s="11" t="n"/>
    </row>
    <row r="61">
      <c r="A61" s="62" t="n"/>
      <c r="B61" s="11" t="n"/>
      <c r="C61" s="11" t="n"/>
      <c r="D61" s="11" t="n"/>
      <c r="E61" s="44" t="n">
        <v>30</v>
      </c>
      <c r="F61" s="45">
        <f>IF(B61="","",VLOOKUP(B61,Job_Settings!$A$5:$C$15,2,FALSE))</f>
        <v/>
      </c>
      <c r="G61" s="46">
        <f>IF(B61="","",VLOOKUP(B61,Job_Settings!$A$5:$C$15,3,FALSE))</f>
        <v/>
      </c>
      <c r="H61" s="65">
        <f>IF(OR(C61="",D61=""),"",ROUND((IF(ISNUMBER(D61),D61,TIMEVALUE(D61))-IF(ISNUMBER(C61),C61,TIMEVALUE(C61)))*24-(E61/60), 2))</f>
        <v/>
      </c>
      <c r="I61" s="45">
        <f>IF(OR(H61="",F61=""),"",ROUND(H61*F61, 2))</f>
        <v/>
      </c>
      <c r="J61" s="45">
        <f>IF(OR(I61="",G61=""),"",ROUND(I61*G61, 2))</f>
        <v/>
      </c>
      <c r="K61" s="45">
        <f>IF(OR(I61="",J61=""),"",ROUND(I61-J61, 2))</f>
        <v/>
      </c>
      <c r="L61" s="48">
        <f>IF(A61="","",ISOWEEKNUM(DATEVALUE(TEXT(A61,"yyyy-mm-dd"))))</f>
        <v/>
      </c>
      <c r="M61" s="48">
        <f>IF(A61="","",YEAR(DATEVALUE(TEXT(A61,"yyyy-mm-dd"))))</f>
        <v/>
      </c>
      <c r="N61" s="11">
        <f>IF(A61="","",TEXT(DATEVALUE(TEXT(A61,"yyyy-mm-dd")),"yyyy-mm"))</f>
        <v/>
      </c>
      <c r="O61" s="11" t="n"/>
    </row>
    <row r="62">
      <c r="A62" s="62" t="n"/>
      <c r="B62" s="11" t="n"/>
      <c r="C62" s="11" t="n"/>
      <c r="D62" s="11" t="n"/>
      <c r="E62" s="44" t="n">
        <v>30</v>
      </c>
      <c r="F62" s="45">
        <f>IF(B62="","",VLOOKUP(B62,Job_Settings!$A$5:$C$15,2,FALSE))</f>
        <v/>
      </c>
      <c r="G62" s="46">
        <f>IF(B62="","",VLOOKUP(B62,Job_Settings!$A$5:$C$15,3,FALSE))</f>
        <v/>
      </c>
      <c r="H62" s="65">
        <f>IF(OR(C62="",D62=""),"",ROUND((IF(ISNUMBER(D62),D62,TIMEVALUE(D62))-IF(ISNUMBER(C62),C62,TIMEVALUE(C62)))*24-(E62/60), 2))</f>
        <v/>
      </c>
      <c r="I62" s="45">
        <f>IF(OR(H62="",F62=""),"",ROUND(H62*F62, 2))</f>
        <v/>
      </c>
      <c r="J62" s="45">
        <f>IF(OR(I62="",G62=""),"",ROUND(I62*G62, 2))</f>
        <v/>
      </c>
      <c r="K62" s="45">
        <f>IF(OR(I62="",J62=""),"",ROUND(I62-J62, 2))</f>
        <v/>
      </c>
      <c r="L62" s="48">
        <f>IF(A62="","",ISOWEEKNUM(DATEVALUE(TEXT(A62,"yyyy-mm-dd"))))</f>
        <v/>
      </c>
      <c r="M62" s="48">
        <f>IF(A62="","",YEAR(DATEVALUE(TEXT(A62,"yyyy-mm-dd"))))</f>
        <v/>
      </c>
      <c r="N62" s="11">
        <f>IF(A62="","",TEXT(DATEVALUE(TEXT(A62,"yyyy-mm-dd")),"yyyy-mm"))</f>
        <v/>
      </c>
      <c r="O62" s="11" t="n"/>
    </row>
    <row r="63">
      <c r="A63" s="62" t="n"/>
      <c r="B63" s="11" t="n"/>
      <c r="C63" s="11" t="n"/>
      <c r="D63" s="11" t="n"/>
      <c r="E63" s="44" t="n">
        <v>30</v>
      </c>
      <c r="F63" s="45">
        <f>IF(B63="","",VLOOKUP(B63,Job_Settings!$A$5:$C$15,2,FALSE))</f>
        <v/>
      </c>
      <c r="G63" s="46">
        <f>IF(B63="","",VLOOKUP(B63,Job_Settings!$A$5:$C$15,3,FALSE))</f>
        <v/>
      </c>
      <c r="H63" s="65">
        <f>IF(OR(C63="",D63=""),"",ROUND((IF(ISNUMBER(D63),D63,TIMEVALUE(D63))-IF(ISNUMBER(C63),C63,TIMEVALUE(C63)))*24-(E63/60), 2))</f>
        <v/>
      </c>
      <c r="I63" s="45">
        <f>IF(OR(H63="",F63=""),"",ROUND(H63*F63, 2))</f>
        <v/>
      </c>
      <c r="J63" s="45">
        <f>IF(OR(I63="",G63=""),"",ROUND(I63*G63, 2))</f>
        <v/>
      </c>
      <c r="K63" s="45">
        <f>IF(OR(I63="",J63=""),"",ROUND(I63-J63, 2))</f>
        <v/>
      </c>
      <c r="L63" s="48">
        <f>IF(A63="","",ISOWEEKNUM(DATEVALUE(TEXT(A63,"yyyy-mm-dd"))))</f>
        <v/>
      </c>
      <c r="M63" s="48">
        <f>IF(A63="","",YEAR(DATEVALUE(TEXT(A63,"yyyy-mm-dd"))))</f>
        <v/>
      </c>
      <c r="N63" s="11">
        <f>IF(A63="","",TEXT(DATEVALUE(TEXT(A63,"yyyy-mm-dd")),"yyyy-mm"))</f>
        <v/>
      </c>
      <c r="O63" s="11" t="n"/>
    </row>
    <row r="64">
      <c r="A64" s="62" t="n"/>
      <c r="B64" s="11" t="n"/>
      <c r="C64" s="11" t="n"/>
      <c r="D64" s="11" t="n"/>
      <c r="E64" s="44" t="n">
        <v>30</v>
      </c>
      <c r="F64" s="45">
        <f>IF(B64="","",VLOOKUP(B64,Job_Settings!$A$5:$C$15,2,FALSE))</f>
        <v/>
      </c>
      <c r="G64" s="46">
        <f>IF(B64="","",VLOOKUP(B64,Job_Settings!$A$5:$C$15,3,FALSE))</f>
        <v/>
      </c>
      <c r="H64" s="65">
        <f>IF(OR(C64="",D64=""),"",ROUND((IF(ISNUMBER(D64),D64,TIMEVALUE(D64))-IF(ISNUMBER(C64),C64,TIMEVALUE(C64)))*24-(E64/60), 2))</f>
        <v/>
      </c>
      <c r="I64" s="45">
        <f>IF(OR(H64="",F64=""),"",ROUND(H64*F64, 2))</f>
        <v/>
      </c>
      <c r="J64" s="45">
        <f>IF(OR(I64="",G64=""),"",ROUND(I64*G64, 2))</f>
        <v/>
      </c>
      <c r="K64" s="45">
        <f>IF(OR(I64="",J64=""),"",ROUND(I64-J64, 2))</f>
        <v/>
      </c>
      <c r="L64" s="48">
        <f>IF(A64="","",ISOWEEKNUM(DATEVALUE(TEXT(A64,"yyyy-mm-dd"))))</f>
        <v/>
      </c>
      <c r="M64" s="48">
        <f>IF(A64="","",YEAR(DATEVALUE(TEXT(A64,"yyyy-mm-dd"))))</f>
        <v/>
      </c>
      <c r="N64" s="11">
        <f>IF(A64="","",TEXT(DATEVALUE(TEXT(A64,"yyyy-mm-dd")),"yyyy-mm"))</f>
        <v/>
      </c>
      <c r="O64" s="11" t="n"/>
    </row>
    <row r="65">
      <c r="A65" s="62" t="n"/>
      <c r="B65" s="11" t="n"/>
      <c r="C65" s="11" t="n"/>
      <c r="D65" s="11" t="n"/>
      <c r="E65" s="44" t="n">
        <v>30</v>
      </c>
      <c r="F65" s="45">
        <f>IF(B65="","",VLOOKUP(B65,Job_Settings!$A$5:$C$15,2,FALSE))</f>
        <v/>
      </c>
      <c r="G65" s="46">
        <f>IF(B65="","",VLOOKUP(B65,Job_Settings!$A$5:$C$15,3,FALSE))</f>
        <v/>
      </c>
      <c r="H65" s="65">
        <f>IF(OR(C65="",D65=""),"",ROUND((IF(ISNUMBER(D65),D65,TIMEVALUE(D65))-IF(ISNUMBER(C65),C65,TIMEVALUE(C65)))*24-(E65/60), 2))</f>
        <v/>
      </c>
      <c r="I65" s="45">
        <f>IF(OR(H65="",F65=""),"",ROUND(H65*F65, 2))</f>
        <v/>
      </c>
      <c r="J65" s="45">
        <f>IF(OR(I65="",G65=""),"",ROUND(I65*G65, 2))</f>
        <v/>
      </c>
      <c r="K65" s="45">
        <f>IF(OR(I65="",J65=""),"",ROUND(I65-J65, 2))</f>
        <v/>
      </c>
      <c r="L65" s="48">
        <f>IF(A65="","",ISOWEEKNUM(DATEVALUE(TEXT(A65,"yyyy-mm-dd"))))</f>
        <v/>
      </c>
      <c r="M65" s="48">
        <f>IF(A65="","",YEAR(DATEVALUE(TEXT(A65,"yyyy-mm-dd"))))</f>
        <v/>
      </c>
      <c r="N65" s="11">
        <f>IF(A65="","",TEXT(DATEVALUE(TEXT(A65,"yyyy-mm-dd")),"yyyy-mm"))</f>
        <v/>
      </c>
      <c r="O65" s="11" t="n"/>
    </row>
    <row r="66">
      <c r="A66" s="62" t="n"/>
      <c r="B66" s="11" t="n"/>
      <c r="C66" s="11" t="n"/>
      <c r="D66" s="11" t="n"/>
      <c r="E66" s="44" t="n">
        <v>30</v>
      </c>
      <c r="F66" s="45">
        <f>IF(B66="","",VLOOKUP(B66,Job_Settings!$A$5:$C$15,2,FALSE))</f>
        <v/>
      </c>
      <c r="G66" s="46">
        <f>IF(B66="","",VLOOKUP(B66,Job_Settings!$A$5:$C$15,3,FALSE))</f>
        <v/>
      </c>
      <c r="H66" s="65">
        <f>IF(OR(C66="",D66=""),"",ROUND((IF(ISNUMBER(D66),D66,TIMEVALUE(D66))-IF(ISNUMBER(C66),C66,TIMEVALUE(C66)))*24-(E66/60), 2))</f>
        <v/>
      </c>
      <c r="I66" s="45">
        <f>IF(OR(H66="",F66=""),"",ROUND(H66*F66, 2))</f>
        <v/>
      </c>
      <c r="J66" s="45">
        <f>IF(OR(I66="",G66=""),"",ROUND(I66*G66, 2))</f>
        <v/>
      </c>
      <c r="K66" s="45">
        <f>IF(OR(I66="",J66=""),"",ROUND(I66-J66, 2))</f>
        <v/>
      </c>
      <c r="L66" s="48">
        <f>IF(A66="","",ISOWEEKNUM(DATEVALUE(TEXT(A66,"yyyy-mm-dd"))))</f>
        <v/>
      </c>
      <c r="M66" s="48">
        <f>IF(A66="","",YEAR(DATEVALUE(TEXT(A66,"yyyy-mm-dd"))))</f>
        <v/>
      </c>
      <c r="N66" s="11">
        <f>IF(A66="","",TEXT(DATEVALUE(TEXT(A66,"yyyy-mm-dd")),"yyyy-mm"))</f>
        <v/>
      </c>
      <c r="O66" s="11" t="n"/>
    </row>
    <row r="67">
      <c r="A67" s="62" t="n"/>
      <c r="B67" s="11" t="n"/>
      <c r="C67" s="11" t="n"/>
      <c r="D67" s="11" t="n"/>
      <c r="E67" s="44" t="n">
        <v>30</v>
      </c>
      <c r="F67" s="45">
        <f>IF(B67="","",VLOOKUP(B67,Job_Settings!$A$5:$C$15,2,FALSE))</f>
        <v/>
      </c>
      <c r="G67" s="46">
        <f>IF(B67="","",VLOOKUP(B67,Job_Settings!$A$5:$C$15,3,FALSE))</f>
        <v/>
      </c>
      <c r="H67" s="65">
        <f>IF(OR(C67="",D67=""),"",ROUND((IF(ISNUMBER(D67),D67,TIMEVALUE(D67))-IF(ISNUMBER(C67),C67,TIMEVALUE(C67)))*24-(E67/60), 2))</f>
        <v/>
      </c>
      <c r="I67" s="45">
        <f>IF(OR(H67="",F67=""),"",ROUND(H67*F67, 2))</f>
        <v/>
      </c>
      <c r="J67" s="45">
        <f>IF(OR(I67="",G67=""),"",ROUND(I67*G67, 2))</f>
        <v/>
      </c>
      <c r="K67" s="45">
        <f>IF(OR(I67="",J67=""),"",ROUND(I67-J67, 2))</f>
        <v/>
      </c>
      <c r="L67" s="48">
        <f>IF(A67="","",ISOWEEKNUM(DATEVALUE(TEXT(A67,"yyyy-mm-dd"))))</f>
        <v/>
      </c>
      <c r="M67" s="48">
        <f>IF(A67="","",YEAR(DATEVALUE(TEXT(A67,"yyyy-mm-dd"))))</f>
        <v/>
      </c>
      <c r="N67" s="11">
        <f>IF(A67="","",TEXT(DATEVALUE(TEXT(A67,"yyyy-mm-dd")),"yyyy-mm"))</f>
        <v/>
      </c>
      <c r="O67" s="11" t="n"/>
    </row>
    <row r="68">
      <c r="A68" s="62" t="n"/>
      <c r="B68" s="11" t="n"/>
      <c r="C68" s="11" t="n"/>
      <c r="D68" s="11" t="n"/>
      <c r="E68" s="44" t="n">
        <v>30</v>
      </c>
      <c r="F68" s="45">
        <f>IF(B68="","",VLOOKUP(B68,Job_Settings!$A$5:$C$15,2,FALSE))</f>
        <v/>
      </c>
      <c r="G68" s="46">
        <f>IF(B68="","",VLOOKUP(B68,Job_Settings!$A$5:$C$15,3,FALSE))</f>
        <v/>
      </c>
      <c r="H68" s="65">
        <f>IF(OR(C68="",D68=""),"",ROUND((IF(ISNUMBER(D68),D68,TIMEVALUE(D68))-IF(ISNUMBER(C68),C68,TIMEVALUE(C68)))*24-(E68/60), 2))</f>
        <v/>
      </c>
      <c r="I68" s="45">
        <f>IF(OR(H68="",F68=""),"",ROUND(H68*F68, 2))</f>
        <v/>
      </c>
      <c r="J68" s="45">
        <f>IF(OR(I68="",G68=""),"",ROUND(I68*G68, 2))</f>
        <v/>
      </c>
      <c r="K68" s="45">
        <f>IF(OR(I68="",J68=""),"",ROUND(I68-J68, 2))</f>
        <v/>
      </c>
      <c r="L68" s="48">
        <f>IF(A68="","",ISOWEEKNUM(DATEVALUE(TEXT(A68,"yyyy-mm-dd"))))</f>
        <v/>
      </c>
      <c r="M68" s="48">
        <f>IF(A68="","",YEAR(DATEVALUE(TEXT(A68,"yyyy-mm-dd"))))</f>
        <v/>
      </c>
      <c r="N68" s="11">
        <f>IF(A68="","",TEXT(DATEVALUE(TEXT(A68,"yyyy-mm-dd")),"yyyy-mm"))</f>
        <v/>
      </c>
      <c r="O68" s="11" t="n"/>
    </row>
    <row r="69">
      <c r="A69" s="62" t="n"/>
      <c r="B69" s="11" t="n"/>
      <c r="C69" s="11" t="n"/>
      <c r="D69" s="11" t="n"/>
      <c r="E69" s="44" t="n">
        <v>30</v>
      </c>
      <c r="F69" s="45">
        <f>IF(B69="","",VLOOKUP(B69,Job_Settings!$A$5:$C$15,2,FALSE))</f>
        <v/>
      </c>
      <c r="G69" s="46">
        <f>IF(B69="","",VLOOKUP(B69,Job_Settings!$A$5:$C$15,3,FALSE))</f>
        <v/>
      </c>
      <c r="H69" s="65">
        <f>IF(OR(C69="",D69=""),"",ROUND((IF(ISNUMBER(D69),D69,TIMEVALUE(D69))-IF(ISNUMBER(C69),C69,TIMEVALUE(C69)))*24-(E69/60), 2))</f>
        <v/>
      </c>
      <c r="I69" s="45">
        <f>IF(OR(H69="",F69=""),"",ROUND(H69*F69, 2))</f>
        <v/>
      </c>
      <c r="J69" s="45">
        <f>IF(OR(I69="",G69=""),"",ROUND(I69*G69, 2))</f>
        <v/>
      </c>
      <c r="K69" s="45">
        <f>IF(OR(I69="",J69=""),"",ROUND(I69-J69, 2))</f>
        <v/>
      </c>
      <c r="L69" s="48">
        <f>IF(A69="","",ISOWEEKNUM(DATEVALUE(TEXT(A69,"yyyy-mm-dd"))))</f>
        <v/>
      </c>
      <c r="M69" s="48">
        <f>IF(A69="","",YEAR(DATEVALUE(TEXT(A69,"yyyy-mm-dd"))))</f>
        <v/>
      </c>
      <c r="N69" s="11">
        <f>IF(A69="","",TEXT(DATEVALUE(TEXT(A69,"yyyy-mm-dd")),"yyyy-mm"))</f>
        <v/>
      </c>
      <c r="O69" s="11" t="n"/>
    </row>
    <row r="70">
      <c r="A70" s="62" t="n"/>
      <c r="B70" s="11" t="n"/>
      <c r="C70" s="11" t="n"/>
      <c r="D70" s="11" t="n"/>
      <c r="E70" s="44" t="n">
        <v>30</v>
      </c>
      <c r="F70" s="45">
        <f>IF(B70="","",VLOOKUP(B70,Job_Settings!$A$5:$C$15,2,FALSE))</f>
        <v/>
      </c>
      <c r="G70" s="46">
        <f>IF(B70="","",VLOOKUP(B70,Job_Settings!$A$5:$C$15,3,FALSE))</f>
        <v/>
      </c>
      <c r="H70" s="65">
        <f>IF(OR(C70="",D70=""),"",ROUND((IF(ISNUMBER(D70),D70,TIMEVALUE(D70))-IF(ISNUMBER(C70),C70,TIMEVALUE(C70)))*24-(E70/60), 2))</f>
        <v/>
      </c>
      <c r="I70" s="45">
        <f>IF(OR(H70="",F70=""),"",ROUND(H70*F70, 2))</f>
        <v/>
      </c>
      <c r="J70" s="45">
        <f>IF(OR(I70="",G70=""),"",ROUND(I70*G70, 2))</f>
        <v/>
      </c>
      <c r="K70" s="45">
        <f>IF(OR(I70="",J70=""),"",ROUND(I70-J70, 2))</f>
        <v/>
      </c>
      <c r="L70" s="48">
        <f>IF(A70="","",ISOWEEKNUM(DATEVALUE(TEXT(A70,"yyyy-mm-dd"))))</f>
        <v/>
      </c>
      <c r="M70" s="48">
        <f>IF(A70="","",YEAR(DATEVALUE(TEXT(A70,"yyyy-mm-dd"))))</f>
        <v/>
      </c>
      <c r="N70" s="11">
        <f>IF(A70="","",TEXT(DATEVALUE(TEXT(A70,"yyyy-mm-dd")),"yyyy-mm"))</f>
        <v/>
      </c>
      <c r="O70" s="11" t="n"/>
    </row>
    <row r="71">
      <c r="A71" s="62" t="n"/>
      <c r="B71" s="11" t="n"/>
      <c r="C71" s="11" t="n"/>
      <c r="D71" s="11" t="n"/>
      <c r="E71" s="44" t="n">
        <v>30</v>
      </c>
      <c r="F71" s="45">
        <f>IF(B71="","",VLOOKUP(B71,Job_Settings!$A$5:$C$15,2,FALSE))</f>
        <v/>
      </c>
      <c r="G71" s="46">
        <f>IF(B71="","",VLOOKUP(B71,Job_Settings!$A$5:$C$15,3,FALSE))</f>
        <v/>
      </c>
      <c r="H71" s="65">
        <f>IF(OR(C71="",D71=""),"",ROUND((IF(ISNUMBER(D71),D71,TIMEVALUE(D71))-IF(ISNUMBER(C71),C71,TIMEVALUE(C71)))*24-(E71/60), 2))</f>
        <v/>
      </c>
      <c r="I71" s="45">
        <f>IF(OR(H71="",F71=""),"",ROUND(H71*F71, 2))</f>
        <v/>
      </c>
      <c r="J71" s="45">
        <f>IF(OR(I71="",G71=""),"",ROUND(I71*G71, 2))</f>
        <v/>
      </c>
      <c r="K71" s="45">
        <f>IF(OR(I71="",J71=""),"",ROUND(I71-J71, 2))</f>
        <v/>
      </c>
      <c r="L71" s="48">
        <f>IF(A71="","",ISOWEEKNUM(DATEVALUE(TEXT(A71,"yyyy-mm-dd"))))</f>
        <v/>
      </c>
      <c r="M71" s="48">
        <f>IF(A71="","",YEAR(DATEVALUE(TEXT(A71,"yyyy-mm-dd"))))</f>
        <v/>
      </c>
      <c r="N71" s="11">
        <f>IF(A71="","",TEXT(DATEVALUE(TEXT(A71,"yyyy-mm-dd")),"yyyy-mm"))</f>
        <v/>
      </c>
      <c r="O71" s="11" t="n"/>
    </row>
    <row r="72">
      <c r="A72" s="62" t="n"/>
      <c r="B72" s="11" t="n"/>
      <c r="C72" s="11" t="n"/>
      <c r="D72" s="11" t="n"/>
      <c r="E72" s="44" t="n">
        <v>30</v>
      </c>
      <c r="F72" s="45">
        <f>IF(B72="","",VLOOKUP(B72,Job_Settings!$A$5:$C$15,2,FALSE))</f>
        <v/>
      </c>
      <c r="G72" s="46">
        <f>IF(B72="","",VLOOKUP(B72,Job_Settings!$A$5:$C$15,3,FALSE))</f>
        <v/>
      </c>
      <c r="H72" s="65">
        <f>IF(OR(C72="",D72=""),"",ROUND((IF(ISNUMBER(D72),D72,TIMEVALUE(D72))-IF(ISNUMBER(C72),C72,TIMEVALUE(C72)))*24-(E72/60), 2))</f>
        <v/>
      </c>
      <c r="I72" s="45">
        <f>IF(OR(H72="",F72=""),"",ROUND(H72*F72, 2))</f>
        <v/>
      </c>
      <c r="J72" s="45">
        <f>IF(OR(I72="",G72=""),"",ROUND(I72*G72, 2))</f>
        <v/>
      </c>
      <c r="K72" s="45">
        <f>IF(OR(I72="",J72=""),"",ROUND(I72-J72, 2))</f>
        <v/>
      </c>
      <c r="L72" s="48">
        <f>IF(A72="","",ISOWEEKNUM(DATEVALUE(TEXT(A72,"yyyy-mm-dd"))))</f>
        <v/>
      </c>
      <c r="M72" s="48">
        <f>IF(A72="","",YEAR(DATEVALUE(TEXT(A72,"yyyy-mm-dd"))))</f>
        <v/>
      </c>
      <c r="N72" s="11">
        <f>IF(A72="","",TEXT(DATEVALUE(TEXT(A72,"yyyy-mm-dd")),"yyyy-mm"))</f>
        <v/>
      </c>
      <c r="O72" s="11" t="n"/>
    </row>
    <row r="73">
      <c r="A73" s="62" t="n"/>
      <c r="B73" s="11" t="n"/>
      <c r="C73" s="11" t="n"/>
      <c r="D73" s="11" t="n"/>
      <c r="E73" s="44" t="n">
        <v>30</v>
      </c>
      <c r="F73" s="45">
        <f>IF(B73="","",VLOOKUP(B73,Job_Settings!$A$5:$C$15,2,FALSE))</f>
        <v/>
      </c>
      <c r="G73" s="46">
        <f>IF(B73="","",VLOOKUP(B73,Job_Settings!$A$5:$C$15,3,FALSE))</f>
        <v/>
      </c>
      <c r="H73" s="65">
        <f>IF(OR(C73="",D73=""),"",ROUND((IF(ISNUMBER(D73),D73,TIMEVALUE(D73))-IF(ISNUMBER(C73),C73,TIMEVALUE(C73)))*24-(E73/60), 2))</f>
        <v/>
      </c>
      <c r="I73" s="45">
        <f>IF(OR(H73="",F73=""),"",ROUND(H73*F73, 2))</f>
        <v/>
      </c>
      <c r="J73" s="45">
        <f>IF(OR(I73="",G73=""),"",ROUND(I73*G73, 2))</f>
        <v/>
      </c>
      <c r="K73" s="45">
        <f>IF(OR(I73="",J73=""),"",ROUND(I73-J73, 2))</f>
        <v/>
      </c>
      <c r="L73" s="48">
        <f>IF(A73="","",ISOWEEKNUM(DATEVALUE(TEXT(A73,"yyyy-mm-dd"))))</f>
        <v/>
      </c>
      <c r="M73" s="48">
        <f>IF(A73="","",YEAR(DATEVALUE(TEXT(A73,"yyyy-mm-dd"))))</f>
        <v/>
      </c>
      <c r="N73" s="11">
        <f>IF(A73="","",TEXT(DATEVALUE(TEXT(A73,"yyyy-mm-dd")),"yyyy-mm"))</f>
        <v/>
      </c>
      <c r="O73" s="11" t="n"/>
    </row>
    <row r="74">
      <c r="A74" s="62" t="n"/>
      <c r="B74" s="11" t="n"/>
      <c r="C74" s="11" t="n"/>
      <c r="D74" s="11" t="n"/>
      <c r="E74" s="44" t="n">
        <v>30</v>
      </c>
      <c r="F74" s="45">
        <f>IF(B74="","",VLOOKUP(B74,Job_Settings!$A$5:$C$15,2,FALSE))</f>
        <v/>
      </c>
      <c r="G74" s="46">
        <f>IF(B74="","",VLOOKUP(B74,Job_Settings!$A$5:$C$15,3,FALSE))</f>
        <v/>
      </c>
      <c r="H74" s="65">
        <f>IF(OR(C74="",D74=""),"",ROUND((IF(ISNUMBER(D74),D74,TIMEVALUE(D74))-IF(ISNUMBER(C74),C74,TIMEVALUE(C74)))*24-(E74/60), 2))</f>
        <v/>
      </c>
      <c r="I74" s="45">
        <f>IF(OR(H74="",F74=""),"",ROUND(H74*F74, 2))</f>
        <v/>
      </c>
      <c r="J74" s="45">
        <f>IF(OR(I74="",G74=""),"",ROUND(I74*G74, 2))</f>
        <v/>
      </c>
      <c r="K74" s="45">
        <f>IF(OR(I74="",J74=""),"",ROUND(I74-J74, 2))</f>
        <v/>
      </c>
      <c r="L74" s="48">
        <f>IF(A74="","",ISOWEEKNUM(DATEVALUE(TEXT(A74,"yyyy-mm-dd"))))</f>
        <v/>
      </c>
      <c r="M74" s="48">
        <f>IF(A74="","",YEAR(DATEVALUE(TEXT(A74,"yyyy-mm-dd"))))</f>
        <v/>
      </c>
      <c r="N74" s="11">
        <f>IF(A74="","",TEXT(DATEVALUE(TEXT(A74,"yyyy-mm-dd")),"yyyy-mm"))</f>
        <v/>
      </c>
      <c r="O74" s="11" t="n"/>
    </row>
    <row r="75">
      <c r="A75" s="62" t="n"/>
      <c r="B75" s="11" t="n"/>
      <c r="C75" s="11" t="n"/>
      <c r="D75" s="11" t="n"/>
      <c r="E75" s="44" t="n">
        <v>30</v>
      </c>
      <c r="F75" s="45">
        <f>IF(B75="","",VLOOKUP(B75,Job_Settings!$A$5:$C$15,2,FALSE))</f>
        <v/>
      </c>
      <c r="G75" s="46">
        <f>IF(B75="","",VLOOKUP(B75,Job_Settings!$A$5:$C$15,3,FALSE))</f>
        <v/>
      </c>
      <c r="H75" s="65">
        <f>IF(OR(C75="",D75=""),"",ROUND((IF(ISNUMBER(D75),D75,TIMEVALUE(D75))-IF(ISNUMBER(C75),C75,TIMEVALUE(C75)))*24-(E75/60), 2))</f>
        <v/>
      </c>
      <c r="I75" s="45">
        <f>IF(OR(H75="",F75=""),"",ROUND(H75*F75, 2))</f>
        <v/>
      </c>
      <c r="J75" s="45">
        <f>IF(OR(I75="",G75=""),"",ROUND(I75*G75, 2))</f>
        <v/>
      </c>
      <c r="K75" s="45">
        <f>IF(OR(I75="",J75=""),"",ROUND(I75-J75, 2))</f>
        <v/>
      </c>
      <c r="L75" s="48">
        <f>IF(A75="","",ISOWEEKNUM(DATEVALUE(TEXT(A75,"yyyy-mm-dd"))))</f>
        <v/>
      </c>
      <c r="M75" s="48">
        <f>IF(A75="","",YEAR(DATEVALUE(TEXT(A75,"yyyy-mm-dd"))))</f>
        <v/>
      </c>
      <c r="N75" s="11">
        <f>IF(A75="","",TEXT(DATEVALUE(TEXT(A75,"yyyy-mm-dd")),"yyyy-mm"))</f>
        <v/>
      </c>
      <c r="O75" s="11" t="n"/>
    </row>
    <row r="76">
      <c r="A76" s="62" t="n"/>
      <c r="B76" s="11" t="n"/>
      <c r="C76" s="11" t="n"/>
      <c r="D76" s="11" t="n"/>
      <c r="E76" s="44" t="n">
        <v>30</v>
      </c>
      <c r="F76" s="45">
        <f>IF(B76="","",VLOOKUP(B76,Job_Settings!$A$5:$C$15,2,FALSE))</f>
        <v/>
      </c>
      <c r="G76" s="46">
        <f>IF(B76="","",VLOOKUP(B76,Job_Settings!$A$5:$C$15,3,FALSE))</f>
        <v/>
      </c>
      <c r="H76" s="65">
        <f>IF(OR(C76="",D76=""),"",ROUND((IF(ISNUMBER(D76),D76,TIMEVALUE(D76))-IF(ISNUMBER(C76),C76,TIMEVALUE(C76)))*24-(E76/60), 2))</f>
        <v/>
      </c>
      <c r="I76" s="45">
        <f>IF(OR(H76="",F76=""),"",ROUND(H76*F76, 2))</f>
        <v/>
      </c>
      <c r="J76" s="45">
        <f>IF(OR(I76="",G76=""),"",ROUND(I76*G76, 2))</f>
        <v/>
      </c>
      <c r="K76" s="45">
        <f>IF(OR(I76="",J76=""),"",ROUND(I76-J76, 2))</f>
        <v/>
      </c>
      <c r="L76" s="48">
        <f>IF(A76="","",ISOWEEKNUM(DATEVALUE(TEXT(A76,"yyyy-mm-dd"))))</f>
        <v/>
      </c>
      <c r="M76" s="48">
        <f>IF(A76="","",YEAR(DATEVALUE(TEXT(A76,"yyyy-mm-dd"))))</f>
        <v/>
      </c>
      <c r="N76" s="11">
        <f>IF(A76="","",TEXT(DATEVALUE(TEXT(A76,"yyyy-mm-dd")),"yyyy-mm"))</f>
        <v/>
      </c>
      <c r="O76" s="11" t="n"/>
    </row>
    <row r="77">
      <c r="A77" s="62" t="n"/>
      <c r="B77" s="11" t="n"/>
      <c r="C77" s="11" t="n"/>
      <c r="D77" s="11" t="n"/>
      <c r="E77" s="44" t="n">
        <v>30</v>
      </c>
      <c r="F77" s="45">
        <f>IF(B77="","",VLOOKUP(B77,Job_Settings!$A$5:$C$15,2,FALSE))</f>
        <v/>
      </c>
      <c r="G77" s="46">
        <f>IF(B77="","",VLOOKUP(B77,Job_Settings!$A$5:$C$15,3,FALSE))</f>
        <v/>
      </c>
      <c r="H77" s="65">
        <f>IF(OR(C77="",D77=""),"",ROUND((IF(ISNUMBER(D77),D77,TIMEVALUE(D77))-IF(ISNUMBER(C77),C77,TIMEVALUE(C77)))*24-(E77/60), 2))</f>
        <v/>
      </c>
      <c r="I77" s="45">
        <f>IF(OR(H77="",F77=""),"",ROUND(H77*F77, 2))</f>
        <v/>
      </c>
      <c r="J77" s="45">
        <f>IF(OR(I77="",G77=""),"",ROUND(I77*G77, 2))</f>
        <v/>
      </c>
      <c r="K77" s="45">
        <f>IF(OR(I77="",J77=""),"",ROUND(I77-J77, 2))</f>
        <v/>
      </c>
      <c r="L77" s="48">
        <f>IF(A77="","",ISOWEEKNUM(DATEVALUE(TEXT(A77,"yyyy-mm-dd"))))</f>
        <v/>
      </c>
      <c r="M77" s="48">
        <f>IF(A77="","",YEAR(DATEVALUE(TEXT(A77,"yyyy-mm-dd"))))</f>
        <v/>
      </c>
      <c r="N77" s="11">
        <f>IF(A77="","",TEXT(DATEVALUE(TEXT(A77,"yyyy-mm-dd")),"yyyy-mm"))</f>
        <v/>
      </c>
      <c r="O77" s="11" t="n"/>
    </row>
    <row r="78">
      <c r="A78" s="62" t="n"/>
      <c r="B78" s="11" t="n"/>
      <c r="C78" s="11" t="n"/>
      <c r="D78" s="11" t="n"/>
      <c r="E78" s="44" t="n">
        <v>30</v>
      </c>
      <c r="F78" s="45">
        <f>IF(B78="","",VLOOKUP(B78,Job_Settings!$A$5:$C$15,2,FALSE))</f>
        <v/>
      </c>
      <c r="G78" s="46">
        <f>IF(B78="","",VLOOKUP(B78,Job_Settings!$A$5:$C$15,3,FALSE))</f>
        <v/>
      </c>
      <c r="H78" s="65">
        <f>IF(OR(C78="",D78=""),"",ROUND((IF(ISNUMBER(D78),D78,TIMEVALUE(D78))-IF(ISNUMBER(C78),C78,TIMEVALUE(C78)))*24-(E78/60), 2))</f>
        <v/>
      </c>
      <c r="I78" s="45">
        <f>IF(OR(H78="",F78=""),"",ROUND(H78*F78, 2))</f>
        <v/>
      </c>
      <c r="J78" s="45">
        <f>IF(OR(I78="",G78=""),"",ROUND(I78*G78, 2))</f>
        <v/>
      </c>
      <c r="K78" s="45">
        <f>IF(OR(I78="",J78=""),"",ROUND(I78-J78, 2))</f>
        <v/>
      </c>
      <c r="L78" s="48">
        <f>IF(A78="","",ISOWEEKNUM(DATEVALUE(TEXT(A78,"yyyy-mm-dd"))))</f>
        <v/>
      </c>
      <c r="M78" s="48">
        <f>IF(A78="","",YEAR(DATEVALUE(TEXT(A78,"yyyy-mm-dd"))))</f>
        <v/>
      </c>
      <c r="N78" s="11">
        <f>IF(A78="","",TEXT(DATEVALUE(TEXT(A78,"yyyy-mm-dd")),"yyyy-mm"))</f>
        <v/>
      </c>
      <c r="O78" s="11" t="n"/>
    </row>
  </sheetData>
  <dataValidations count="1">
    <dataValidation sqref="B5:B1000" showDropDown="0" showInputMessage="0" showErrorMessage="0" allowBlank="1" type="list">
      <formula1>Job_Settings!$A$5:$A$15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0" customWidth="1" min="4" max="4"/>
    <col width="23" customWidth="1" min="5" max="5"/>
    <col width="19" customWidth="1" min="6" max="6"/>
    <col width="22" customWidth="1" min="7" max="7"/>
    <col width="18" customWidth="1" min="8" max="8"/>
  </cols>
  <sheetData>
    <row r="1">
      <c r="A1" s="31" t="inlineStr">
        <is>
          <t>Weekly Earnings &amp; Hours Summary</t>
        </is>
      </c>
    </row>
    <row r="2">
      <c r="A2" s="2" t="inlineStr">
        <is>
          <t>Automatically aggregates total shifts, paid hours, gross pay, and net take-home pay by ISO Week.</t>
        </is>
      </c>
    </row>
    <row r="4">
      <c r="A4" s="9" t="inlineStr">
        <is>
          <t>Year</t>
        </is>
      </c>
      <c r="B4" s="9" t="inlineStr">
        <is>
          <t>Week #</t>
        </is>
      </c>
      <c r="C4" s="9" t="inlineStr">
        <is>
          <t>Shifts Worked</t>
        </is>
      </c>
      <c r="D4" s="9" t="inlineStr">
        <is>
          <t>Total Paid Hours</t>
        </is>
      </c>
      <c r="E4" s="9" t="inlineStr">
        <is>
          <t>Gross Earnings (kr)</t>
        </is>
      </c>
      <c r="F4" s="9" t="inlineStr">
        <is>
          <t>Tax Amount (kr)</t>
        </is>
      </c>
      <c r="G4" s="9" t="inlineStr">
        <is>
          <t>Net Take-Home (kr)</t>
        </is>
      </c>
      <c r="H4" s="9" t="inlineStr">
        <is>
          <t>Avg Net / Hour</t>
        </is>
      </c>
    </row>
    <row r="5">
      <c r="A5" s="37" t="n">
        <v>2025</v>
      </c>
      <c r="B5" s="37" t="n">
        <v>48</v>
      </c>
      <c r="C5" s="37">
        <f>COUNTIFS(Daily_Log!$M$5:$M$500, A5, Daily_Log!$L$5:$L$500, B5)</f>
        <v/>
      </c>
      <c r="D5" s="59">
        <f>SUMIFS(Daily_Log!$H$5:$H$500, Daily_Log!$M$5:$M$500, A5, Daily_Log!$L$5:$L$500, B5)</f>
        <v/>
      </c>
      <c r="E5" s="26">
        <f>SUMIFS(Daily_Log!$I$5:$I$500, Daily_Log!$M$5:$M$500, A5, Daily_Log!$L$5:$L$500, B5)</f>
        <v/>
      </c>
      <c r="F5" s="26">
        <f>SUMIFS(Daily_Log!$J$5:$J$500, Daily_Log!$M$5:$M$500, A5, Daily_Log!$L$5:$L$500, B5)</f>
        <v/>
      </c>
      <c r="G5" s="26">
        <f>SUMIFS(Daily_Log!$K$5:$K$500, Daily_Log!$M$5:$M$500, A5, Daily_Log!$L$5:$L$500, B5)</f>
        <v/>
      </c>
      <c r="H5" s="26">
        <f>IF(D5&gt;0, G5/D5, 0)</f>
        <v/>
      </c>
    </row>
    <row r="6">
      <c r="A6" s="42" t="n">
        <v>2025</v>
      </c>
      <c r="B6" s="42" t="n">
        <v>49</v>
      </c>
      <c r="C6" s="42">
        <f>COUNTIFS(Daily_Log!$M$5:$M$500, A6, Daily_Log!$L$5:$L$500, B6)</f>
        <v/>
      </c>
      <c r="D6" s="61">
        <f>SUMIFS(Daily_Log!$H$5:$H$500, Daily_Log!$M$5:$M$500, A6, Daily_Log!$L$5:$L$500, B6)</f>
        <v/>
      </c>
      <c r="E6" s="30">
        <f>SUMIFS(Daily_Log!$I$5:$I$500, Daily_Log!$M$5:$M$500, A6, Daily_Log!$L$5:$L$500, B6)</f>
        <v/>
      </c>
      <c r="F6" s="30">
        <f>SUMIFS(Daily_Log!$J$5:$J$500, Daily_Log!$M$5:$M$500, A6, Daily_Log!$L$5:$L$500, B6)</f>
        <v/>
      </c>
      <c r="G6" s="30">
        <f>SUMIFS(Daily_Log!$K$5:$K$500, Daily_Log!$M$5:$M$500, A6, Daily_Log!$L$5:$L$500, B6)</f>
        <v/>
      </c>
      <c r="H6" s="30">
        <f>IF(D6&gt;0, G6/D6, 0)</f>
        <v/>
      </c>
    </row>
    <row r="7">
      <c r="A7" s="37" t="n">
        <v>2025</v>
      </c>
      <c r="B7" s="37" t="n">
        <v>50</v>
      </c>
      <c r="C7" s="37">
        <f>COUNTIFS(Daily_Log!$M$5:$M$500, A7, Daily_Log!$L$5:$L$500, B7)</f>
        <v/>
      </c>
      <c r="D7" s="59">
        <f>SUMIFS(Daily_Log!$H$5:$H$500, Daily_Log!$M$5:$M$500, A7, Daily_Log!$L$5:$L$500, B7)</f>
        <v/>
      </c>
      <c r="E7" s="26">
        <f>SUMIFS(Daily_Log!$I$5:$I$500, Daily_Log!$M$5:$M$500, A7, Daily_Log!$L$5:$L$500, B7)</f>
        <v/>
      </c>
      <c r="F7" s="26">
        <f>SUMIFS(Daily_Log!$J$5:$J$500, Daily_Log!$M$5:$M$500, A7, Daily_Log!$L$5:$L$500, B7)</f>
        <v/>
      </c>
      <c r="G7" s="26">
        <f>SUMIFS(Daily_Log!$K$5:$K$500, Daily_Log!$M$5:$M$500, A7, Daily_Log!$L$5:$L$500, B7)</f>
        <v/>
      </c>
      <c r="H7" s="26">
        <f>IF(D7&gt;0, G7/D7, 0)</f>
        <v/>
      </c>
    </row>
    <row r="8">
      <c r="A8" s="42" t="n">
        <v>2025</v>
      </c>
      <c r="B8" s="42" t="n">
        <v>51</v>
      </c>
      <c r="C8" s="42">
        <f>COUNTIFS(Daily_Log!$M$5:$M$500, A8, Daily_Log!$L$5:$L$500, B8)</f>
        <v/>
      </c>
      <c r="D8" s="61">
        <f>SUMIFS(Daily_Log!$H$5:$H$500, Daily_Log!$M$5:$M$500, A8, Daily_Log!$L$5:$L$500, B8)</f>
        <v/>
      </c>
      <c r="E8" s="30">
        <f>SUMIFS(Daily_Log!$I$5:$I$500, Daily_Log!$M$5:$M$500, A8, Daily_Log!$L$5:$L$500, B8)</f>
        <v/>
      </c>
      <c r="F8" s="30">
        <f>SUMIFS(Daily_Log!$J$5:$J$500, Daily_Log!$M$5:$M$500, A8, Daily_Log!$L$5:$L$500, B8)</f>
        <v/>
      </c>
      <c r="G8" s="30">
        <f>SUMIFS(Daily_Log!$K$5:$K$500, Daily_Log!$M$5:$M$500, A8, Daily_Log!$L$5:$L$500, B8)</f>
        <v/>
      </c>
      <c r="H8" s="30">
        <f>IF(D8&gt;0, G8/D8, 0)</f>
        <v/>
      </c>
    </row>
    <row r="9">
      <c r="A9" s="37" t="n">
        <v>2025</v>
      </c>
      <c r="B9" s="37" t="n">
        <v>52</v>
      </c>
      <c r="C9" s="37">
        <f>COUNTIFS(Daily_Log!$M$5:$M$500, A9, Daily_Log!$L$5:$L$500, B9)</f>
        <v/>
      </c>
      <c r="D9" s="59">
        <f>SUMIFS(Daily_Log!$H$5:$H$500, Daily_Log!$M$5:$M$500, A9, Daily_Log!$L$5:$L$500, B9)</f>
        <v/>
      </c>
      <c r="E9" s="26">
        <f>SUMIFS(Daily_Log!$I$5:$I$500, Daily_Log!$M$5:$M$500, A9, Daily_Log!$L$5:$L$500, B9)</f>
        <v/>
      </c>
      <c r="F9" s="26">
        <f>SUMIFS(Daily_Log!$J$5:$J$500, Daily_Log!$M$5:$M$500, A9, Daily_Log!$L$5:$L$500, B9)</f>
        <v/>
      </c>
      <c r="G9" s="26">
        <f>SUMIFS(Daily_Log!$K$5:$K$500, Daily_Log!$M$5:$M$500, A9, Daily_Log!$L$5:$L$500, B9)</f>
        <v/>
      </c>
      <c r="H9" s="26">
        <f>IF(D9&gt;0, G9/D9, 0)</f>
        <v/>
      </c>
    </row>
    <row r="10">
      <c r="A10" s="42" t="n">
        <v>2026</v>
      </c>
      <c r="B10" s="42" t="n">
        <v>1</v>
      </c>
      <c r="C10" s="42">
        <f>COUNTIFS(Daily_Log!$M$5:$M$500, A10, Daily_Log!$L$5:$L$500, B10)</f>
        <v/>
      </c>
      <c r="D10" s="61">
        <f>SUMIFS(Daily_Log!$H$5:$H$500, Daily_Log!$M$5:$M$500, A10, Daily_Log!$L$5:$L$500, B10)</f>
        <v/>
      </c>
      <c r="E10" s="30">
        <f>SUMIFS(Daily_Log!$I$5:$I$500, Daily_Log!$M$5:$M$500, A10, Daily_Log!$L$5:$L$500, B10)</f>
        <v/>
      </c>
      <c r="F10" s="30">
        <f>SUMIFS(Daily_Log!$J$5:$J$500, Daily_Log!$M$5:$M$500, A10, Daily_Log!$L$5:$L$500, B10)</f>
        <v/>
      </c>
      <c r="G10" s="30">
        <f>SUMIFS(Daily_Log!$K$5:$K$500, Daily_Log!$M$5:$M$500, A10, Daily_Log!$L$5:$L$500, B10)</f>
        <v/>
      </c>
      <c r="H10" s="30">
        <f>IF(D10&gt;0, G10/D10, 0)</f>
        <v/>
      </c>
    </row>
    <row r="11">
      <c r="A11" s="37" t="n">
        <v>2026</v>
      </c>
      <c r="B11" s="37" t="n">
        <v>2</v>
      </c>
      <c r="C11" s="37">
        <f>COUNTIFS(Daily_Log!$M$5:$M$500, A11, Daily_Log!$L$5:$L$500, B11)</f>
        <v/>
      </c>
      <c r="D11" s="59">
        <f>SUMIFS(Daily_Log!$H$5:$H$500, Daily_Log!$M$5:$M$500, A11, Daily_Log!$L$5:$L$500, B11)</f>
        <v/>
      </c>
      <c r="E11" s="26">
        <f>SUMIFS(Daily_Log!$I$5:$I$500, Daily_Log!$M$5:$M$500, A11, Daily_Log!$L$5:$L$500, B11)</f>
        <v/>
      </c>
      <c r="F11" s="26">
        <f>SUMIFS(Daily_Log!$J$5:$J$500, Daily_Log!$M$5:$M$500, A11, Daily_Log!$L$5:$L$500, B11)</f>
        <v/>
      </c>
      <c r="G11" s="26">
        <f>SUMIFS(Daily_Log!$K$5:$K$500, Daily_Log!$M$5:$M$500, A11, Daily_Log!$L$5:$L$500, B11)</f>
        <v/>
      </c>
      <c r="H11" s="26">
        <f>IF(D11&gt;0, G11/D11, 0)</f>
        <v/>
      </c>
    </row>
    <row r="12">
      <c r="A12" s="42" t="n">
        <v>2026</v>
      </c>
      <c r="B12" s="42" t="n">
        <v>3</v>
      </c>
      <c r="C12" s="42">
        <f>COUNTIFS(Daily_Log!$M$5:$M$500, A12, Daily_Log!$L$5:$L$500, B12)</f>
        <v/>
      </c>
      <c r="D12" s="61">
        <f>SUMIFS(Daily_Log!$H$5:$H$500, Daily_Log!$M$5:$M$500, A12, Daily_Log!$L$5:$L$500, B12)</f>
        <v/>
      </c>
      <c r="E12" s="30">
        <f>SUMIFS(Daily_Log!$I$5:$I$500, Daily_Log!$M$5:$M$500, A12, Daily_Log!$L$5:$L$500, B12)</f>
        <v/>
      </c>
      <c r="F12" s="30">
        <f>SUMIFS(Daily_Log!$J$5:$J$500, Daily_Log!$M$5:$M$500, A12, Daily_Log!$L$5:$L$500, B12)</f>
        <v/>
      </c>
      <c r="G12" s="30">
        <f>SUMIFS(Daily_Log!$K$5:$K$500, Daily_Log!$M$5:$M$500, A12, Daily_Log!$L$5:$L$500, B12)</f>
        <v/>
      </c>
      <c r="H12" s="30">
        <f>IF(D12&gt;0, G12/D12, 0)</f>
        <v/>
      </c>
    </row>
    <row r="13">
      <c r="A13" s="37" t="n">
        <v>2026</v>
      </c>
      <c r="B13" s="37" t="n">
        <v>4</v>
      </c>
      <c r="C13" s="37">
        <f>COUNTIFS(Daily_Log!$M$5:$M$500, A13, Daily_Log!$L$5:$L$500, B13)</f>
        <v/>
      </c>
      <c r="D13" s="59">
        <f>SUMIFS(Daily_Log!$H$5:$H$500, Daily_Log!$M$5:$M$500, A13, Daily_Log!$L$5:$L$500, B13)</f>
        <v/>
      </c>
      <c r="E13" s="26">
        <f>SUMIFS(Daily_Log!$I$5:$I$500, Daily_Log!$M$5:$M$500, A13, Daily_Log!$L$5:$L$500, B13)</f>
        <v/>
      </c>
      <c r="F13" s="26">
        <f>SUMIFS(Daily_Log!$J$5:$J$500, Daily_Log!$M$5:$M$500, A13, Daily_Log!$L$5:$L$500, B13)</f>
        <v/>
      </c>
      <c r="G13" s="26">
        <f>SUMIFS(Daily_Log!$K$5:$K$500, Daily_Log!$M$5:$M$500, A13, Daily_Log!$L$5:$L$500, B13)</f>
        <v/>
      </c>
      <c r="H13" s="26">
        <f>IF(D13&gt;0, G13/D13, 0)</f>
        <v/>
      </c>
    </row>
    <row r="14">
      <c r="A14" s="42" t="n">
        <v>2026</v>
      </c>
      <c r="B14" s="42" t="n">
        <v>5</v>
      </c>
      <c r="C14" s="42">
        <f>COUNTIFS(Daily_Log!$M$5:$M$500, A14, Daily_Log!$L$5:$L$500, B14)</f>
        <v/>
      </c>
      <c r="D14" s="61">
        <f>SUMIFS(Daily_Log!$H$5:$H$500, Daily_Log!$M$5:$M$500, A14, Daily_Log!$L$5:$L$500, B14)</f>
        <v/>
      </c>
      <c r="E14" s="30">
        <f>SUMIFS(Daily_Log!$I$5:$I$500, Daily_Log!$M$5:$M$500, A14, Daily_Log!$L$5:$L$500, B14)</f>
        <v/>
      </c>
      <c r="F14" s="30">
        <f>SUMIFS(Daily_Log!$J$5:$J$500, Daily_Log!$M$5:$M$500, A14, Daily_Log!$L$5:$L$500, B14)</f>
        <v/>
      </c>
      <c r="G14" s="30">
        <f>SUMIFS(Daily_Log!$K$5:$K$500, Daily_Log!$M$5:$M$500, A14, Daily_Log!$L$5:$L$500, B14)</f>
        <v/>
      </c>
      <c r="H14" s="30">
        <f>IF(D14&gt;0, G14/D14, 0)</f>
        <v/>
      </c>
    </row>
    <row r="15">
      <c r="A15" s="37" t="n">
        <v>2026</v>
      </c>
      <c r="B15" s="37" t="n">
        <v>6</v>
      </c>
      <c r="C15" s="37">
        <f>COUNTIFS(Daily_Log!$M$5:$M$500, A15, Daily_Log!$L$5:$L$500, B15)</f>
        <v/>
      </c>
      <c r="D15" s="59">
        <f>SUMIFS(Daily_Log!$H$5:$H$500, Daily_Log!$M$5:$M$500, A15, Daily_Log!$L$5:$L$500, B15)</f>
        <v/>
      </c>
      <c r="E15" s="26">
        <f>SUMIFS(Daily_Log!$I$5:$I$500, Daily_Log!$M$5:$M$500, A15, Daily_Log!$L$5:$L$500, B15)</f>
        <v/>
      </c>
      <c r="F15" s="26">
        <f>SUMIFS(Daily_Log!$J$5:$J$500, Daily_Log!$M$5:$M$500, A15, Daily_Log!$L$5:$L$500, B15)</f>
        <v/>
      </c>
      <c r="G15" s="26">
        <f>SUMIFS(Daily_Log!$K$5:$K$500, Daily_Log!$M$5:$M$500, A15, Daily_Log!$L$5:$L$500, B15)</f>
        <v/>
      </c>
      <c r="H15" s="26">
        <f>IF(D15&gt;0, G15/D15, 0)</f>
        <v/>
      </c>
    </row>
    <row r="16">
      <c r="A16" s="42" t="n">
        <v>2026</v>
      </c>
      <c r="B16" s="42" t="n">
        <v>7</v>
      </c>
      <c r="C16" s="42">
        <f>COUNTIFS(Daily_Log!$M$5:$M$500, A16, Daily_Log!$L$5:$L$500, B16)</f>
        <v/>
      </c>
      <c r="D16" s="61">
        <f>SUMIFS(Daily_Log!$H$5:$H$500, Daily_Log!$M$5:$M$500, A16, Daily_Log!$L$5:$L$500, B16)</f>
        <v/>
      </c>
      <c r="E16" s="30">
        <f>SUMIFS(Daily_Log!$I$5:$I$500, Daily_Log!$M$5:$M$500, A16, Daily_Log!$L$5:$L$500, B16)</f>
        <v/>
      </c>
      <c r="F16" s="30">
        <f>SUMIFS(Daily_Log!$J$5:$J$500, Daily_Log!$M$5:$M$500, A16, Daily_Log!$L$5:$L$500, B16)</f>
        <v/>
      </c>
      <c r="G16" s="30">
        <f>SUMIFS(Daily_Log!$K$5:$K$500, Daily_Log!$M$5:$M$500, A16, Daily_Log!$L$5:$L$500, B16)</f>
        <v/>
      </c>
      <c r="H16" s="30">
        <f>IF(D16&gt;0, G16/D16, 0)</f>
        <v/>
      </c>
    </row>
    <row r="17">
      <c r="A17" s="37" t="n">
        <v>2026</v>
      </c>
      <c r="B17" s="37" t="n">
        <v>8</v>
      </c>
      <c r="C17" s="37">
        <f>COUNTIFS(Daily_Log!$M$5:$M$500, A17, Daily_Log!$L$5:$L$500, B17)</f>
        <v/>
      </c>
      <c r="D17" s="59">
        <f>SUMIFS(Daily_Log!$H$5:$H$500, Daily_Log!$M$5:$M$500, A17, Daily_Log!$L$5:$L$500, B17)</f>
        <v/>
      </c>
      <c r="E17" s="26">
        <f>SUMIFS(Daily_Log!$I$5:$I$500, Daily_Log!$M$5:$M$500, A17, Daily_Log!$L$5:$L$500, B17)</f>
        <v/>
      </c>
      <c r="F17" s="26">
        <f>SUMIFS(Daily_Log!$J$5:$J$500, Daily_Log!$M$5:$M$500, A17, Daily_Log!$L$5:$L$500, B17)</f>
        <v/>
      </c>
      <c r="G17" s="26">
        <f>SUMIFS(Daily_Log!$K$5:$K$500, Daily_Log!$M$5:$M$500, A17, Daily_Log!$L$5:$L$500, B17)</f>
        <v/>
      </c>
      <c r="H17" s="26">
        <f>IF(D17&gt;0, G17/D17, 0)</f>
        <v/>
      </c>
    </row>
    <row r="18">
      <c r="A18" s="42" t="n">
        <v>2026</v>
      </c>
      <c r="B18" s="42" t="n">
        <v>9</v>
      </c>
      <c r="C18" s="42">
        <f>COUNTIFS(Daily_Log!$M$5:$M$500, A18, Daily_Log!$L$5:$L$500, B18)</f>
        <v/>
      </c>
      <c r="D18" s="61">
        <f>SUMIFS(Daily_Log!$H$5:$H$500, Daily_Log!$M$5:$M$500, A18, Daily_Log!$L$5:$L$500, B18)</f>
        <v/>
      </c>
      <c r="E18" s="30">
        <f>SUMIFS(Daily_Log!$I$5:$I$500, Daily_Log!$M$5:$M$500, A18, Daily_Log!$L$5:$L$500, B18)</f>
        <v/>
      </c>
      <c r="F18" s="30">
        <f>SUMIFS(Daily_Log!$J$5:$J$500, Daily_Log!$M$5:$M$500, A18, Daily_Log!$L$5:$L$500, B18)</f>
        <v/>
      </c>
      <c r="G18" s="30">
        <f>SUMIFS(Daily_Log!$K$5:$K$500, Daily_Log!$M$5:$M$500, A18, Daily_Log!$L$5:$L$500, B18)</f>
        <v/>
      </c>
      <c r="H18" s="30">
        <f>IF(D18&gt;0, G18/D18, 0)</f>
        <v/>
      </c>
    </row>
    <row r="19">
      <c r="A19" s="37" t="n">
        <v>2026</v>
      </c>
      <c r="B19" s="37" t="n">
        <v>10</v>
      </c>
      <c r="C19" s="37">
        <f>COUNTIFS(Daily_Log!$M$5:$M$500, A19, Daily_Log!$L$5:$L$500, B19)</f>
        <v/>
      </c>
      <c r="D19" s="59">
        <f>SUMIFS(Daily_Log!$H$5:$H$500, Daily_Log!$M$5:$M$500, A19, Daily_Log!$L$5:$L$500, B19)</f>
        <v/>
      </c>
      <c r="E19" s="26">
        <f>SUMIFS(Daily_Log!$I$5:$I$500, Daily_Log!$M$5:$M$500, A19, Daily_Log!$L$5:$L$500, B19)</f>
        <v/>
      </c>
      <c r="F19" s="26">
        <f>SUMIFS(Daily_Log!$J$5:$J$500, Daily_Log!$M$5:$M$500, A19, Daily_Log!$L$5:$L$500, B19)</f>
        <v/>
      </c>
      <c r="G19" s="26">
        <f>SUMIFS(Daily_Log!$K$5:$K$500, Daily_Log!$M$5:$M$500, A19, Daily_Log!$L$5:$L$500, B19)</f>
        <v/>
      </c>
      <c r="H19" s="26">
        <f>IF(D19&gt;0, G19/D19, 0)</f>
        <v/>
      </c>
    </row>
    <row r="20">
      <c r="A20" s="42" t="n">
        <v>2026</v>
      </c>
      <c r="B20" s="42" t="n">
        <v>11</v>
      </c>
      <c r="C20" s="42">
        <f>COUNTIFS(Daily_Log!$M$5:$M$500, A20, Daily_Log!$L$5:$L$500, B20)</f>
        <v/>
      </c>
      <c r="D20" s="61">
        <f>SUMIFS(Daily_Log!$H$5:$H$500, Daily_Log!$M$5:$M$500, A20, Daily_Log!$L$5:$L$500, B20)</f>
        <v/>
      </c>
      <c r="E20" s="30">
        <f>SUMIFS(Daily_Log!$I$5:$I$500, Daily_Log!$M$5:$M$500, A20, Daily_Log!$L$5:$L$500, B20)</f>
        <v/>
      </c>
      <c r="F20" s="30">
        <f>SUMIFS(Daily_Log!$J$5:$J$500, Daily_Log!$M$5:$M$500, A20, Daily_Log!$L$5:$L$500, B20)</f>
        <v/>
      </c>
      <c r="G20" s="30">
        <f>SUMIFS(Daily_Log!$K$5:$K$500, Daily_Log!$M$5:$M$500, A20, Daily_Log!$L$5:$L$500, B20)</f>
        <v/>
      </c>
      <c r="H20" s="30">
        <f>IF(D20&gt;0, G20/D20, 0)</f>
        <v/>
      </c>
    </row>
    <row r="21">
      <c r="A21" s="37" t="n">
        <v>2026</v>
      </c>
      <c r="B21" s="37" t="n">
        <v>12</v>
      </c>
      <c r="C21" s="37">
        <f>COUNTIFS(Daily_Log!$M$5:$M$500, A21, Daily_Log!$L$5:$L$500, B21)</f>
        <v/>
      </c>
      <c r="D21" s="59">
        <f>SUMIFS(Daily_Log!$H$5:$H$500, Daily_Log!$M$5:$M$500, A21, Daily_Log!$L$5:$L$500, B21)</f>
        <v/>
      </c>
      <c r="E21" s="26">
        <f>SUMIFS(Daily_Log!$I$5:$I$500, Daily_Log!$M$5:$M$500, A21, Daily_Log!$L$5:$L$500, B21)</f>
        <v/>
      </c>
      <c r="F21" s="26">
        <f>SUMIFS(Daily_Log!$J$5:$J$500, Daily_Log!$M$5:$M$500, A21, Daily_Log!$L$5:$L$500, B21)</f>
        <v/>
      </c>
      <c r="G21" s="26">
        <f>SUMIFS(Daily_Log!$K$5:$K$500, Daily_Log!$M$5:$M$500, A21, Daily_Log!$L$5:$L$500, B21)</f>
        <v/>
      </c>
      <c r="H21" s="26">
        <f>IF(D21&gt;0, G21/D21, 0)</f>
        <v/>
      </c>
    </row>
    <row r="22">
      <c r="A22" s="18" t="inlineStr">
        <is>
          <t>Total</t>
        </is>
      </c>
      <c r="B22" s="18" t="n"/>
      <c r="C22" s="49">
        <f>SUM(C5:C21)</f>
        <v/>
      </c>
      <c r="D22" s="57">
        <f>SUM(D5:D21)</f>
        <v/>
      </c>
      <c r="E22" s="20">
        <f>SUM(E5:E21)</f>
        <v/>
      </c>
      <c r="F22" s="20">
        <f>SUM(F5:F21)</f>
        <v/>
      </c>
      <c r="G22" s="20">
        <f>SUM(G5:G21)</f>
        <v/>
      </c>
      <c r="H22" s="20">
        <f>IF(D22&gt;0, G22/D22, 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20" customWidth="1" min="5" max="5"/>
    <col width="23" customWidth="1" min="6" max="6"/>
    <col width="22" customWidth="1" min="7" max="7"/>
    <col width="22" customWidth="1" min="8" max="8"/>
    <col width="25" customWidth="1" min="9" max="9"/>
  </cols>
  <sheetData>
    <row r="1">
      <c r="A1" s="31" t="inlineStr">
        <is>
          <t>Monthly Hours &amp; Income Breakdown</t>
        </is>
      </c>
    </row>
    <row r="2">
      <c r="A2" s="2" t="inlineStr">
        <is>
          <t>Tracks total hours, gross pay, tax deductions, and net income by calendar month.</t>
        </is>
      </c>
    </row>
    <row r="4">
      <c r="A4" s="9" t="inlineStr">
        <is>
          <t>Month Key</t>
        </is>
      </c>
      <c r="B4" s="9" t="inlineStr">
        <is>
          <t>Year</t>
        </is>
      </c>
      <c r="C4" s="9" t="inlineStr">
        <is>
          <t>Month Name</t>
        </is>
      </c>
      <c r="D4" s="9" t="inlineStr">
        <is>
          <t>Days Worked</t>
        </is>
      </c>
      <c r="E4" s="9" t="inlineStr">
        <is>
          <t>Total Paid Hours</t>
        </is>
      </c>
      <c r="F4" s="9" t="inlineStr">
        <is>
          <t>Gross Earnings (kr)</t>
        </is>
      </c>
      <c r="G4" s="9" t="inlineStr">
        <is>
          <t>Tax Deduction (kr)</t>
        </is>
      </c>
      <c r="H4" s="9" t="inlineStr">
        <is>
          <t>Net Take-Home (kr)</t>
        </is>
      </c>
      <c r="I4" s="9" t="inlineStr">
        <is>
          <t>Effective Hourly Rate</t>
        </is>
      </c>
    </row>
    <row r="5">
      <c r="A5" s="34" t="inlineStr">
        <is>
          <t>2025-11</t>
        </is>
      </c>
      <c r="B5" s="37" t="n">
        <v>2025</v>
      </c>
      <c r="C5" s="33" t="inlineStr">
        <is>
          <t>November</t>
        </is>
      </c>
      <c r="D5" s="37">
        <f>COUNTIFS(Daily_Log!$N$5:$N$500, A5)</f>
        <v/>
      </c>
      <c r="E5" s="59">
        <f>SUMIFS(Daily_Log!$H$5:$H$500, Daily_Log!$N$5:$N$500, A5)</f>
        <v/>
      </c>
      <c r="F5" s="26">
        <f>SUMIFS(Daily_Log!$I$5:$I$500, Daily_Log!$N$5:$N$500, A5)</f>
        <v/>
      </c>
      <c r="G5" s="26">
        <f>SUMIFS(Daily_Log!$J$5:$J$500, Daily_Log!$N$5:$N$500, A5)</f>
        <v/>
      </c>
      <c r="H5" s="26">
        <f>SUMIFS(Daily_Log!$K$5:$K$500, Daily_Log!$N$5:$N$500, A5)</f>
        <v/>
      </c>
      <c r="I5" s="26">
        <f>IF(E5&gt;0, H5/E5, 0)</f>
        <v/>
      </c>
    </row>
    <row r="6">
      <c r="A6" s="39" t="inlineStr">
        <is>
          <t>2025-12</t>
        </is>
      </c>
      <c r="B6" s="42" t="n">
        <v>2025</v>
      </c>
      <c r="C6" s="38" t="inlineStr">
        <is>
          <t>December</t>
        </is>
      </c>
      <c r="D6" s="42">
        <f>COUNTIFS(Daily_Log!$N$5:$N$500, A6)</f>
        <v/>
      </c>
      <c r="E6" s="61">
        <f>SUMIFS(Daily_Log!$H$5:$H$500, Daily_Log!$N$5:$N$500, A6)</f>
        <v/>
      </c>
      <c r="F6" s="30">
        <f>SUMIFS(Daily_Log!$I$5:$I$500, Daily_Log!$N$5:$N$500, A6)</f>
        <v/>
      </c>
      <c r="G6" s="30">
        <f>SUMIFS(Daily_Log!$J$5:$J$500, Daily_Log!$N$5:$N$500, A6)</f>
        <v/>
      </c>
      <c r="H6" s="30">
        <f>SUMIFS(Daily_Log!$K$5:$K$500, Daily_Log!$N$5:$N$500, A6)</f>
        <v/>
      </c>
      <c r="I6" s="30">
        <f>IF(E6&gt;0, H6/E6, 0)</f>
        <v/>
      </c>
    </row>
    <row r="7">
      <c r="A7" s="34" t="inlineStr">
        <is>
          <t>2026-01</t>
        </is>
      </c>
      <c r="B7" s="37" t="n">
        <v>2026</v>
      </c>
      <c r="C7" s="33" t="inlineStr">
        <is>
          <t>January</t>
        </is>
      </c>
      <c r="D7" s="37">
        <f>COUNTIFS(Daily_Log!$N$5:$N$500, A7)</f>
        <v/>
      </c>
      <c r="E7" s="59">
        <f>SUMIFS(Daily_Log!$H$5:$H$500, Daily_Log!$N$5:$N$500, A7)</f>
        <v/>
      </c>
      <c r="F7" s="26">
        <f>SUMIFS(Daily_Log!$I$5:$I$500, Daily_Log!$N$5:$N$500, A7)</f>
        <v/>
      </c>
      <c r="G7" s="26">
        <f>SUMIFS(Daily_Log!$J$5:$J$500, Daily_Log!$N$5:$N$500, A7)</f>
        <v/>
      </c>
      <c r="H7" s="26">
        <f>SUMIFS(Daily_Log!$K$5:$K$500, Daily_Log!$N$5:$N$500, A7)</f>
        <v/>
      </c>
      <c r="I7" s="26">
        <f>IF(E7&gt;0, H7/E7, 0)</f>
        <v/>
      </c>
    </row>
    <row r="8">
      <c r="A8" s="39" t="inlineStr">
        <is>
          <t>2026-02</t>
        </is>
      </c>
      <c r="B8" s="42" t="n">
        <v>2026</v>
      </c>
      <c r="C8" s="38" t="inlineStr">
        <is>
          <t>February</t>
        </is>
      </c>
      <c r="D8" s="42">
        <f>COUNTIFS(Daily_Log!$N$5:$N$500, A8)</f>
        <v/>
      </c>
      <c r="E8" s="61">
        <f>SUMIFS(Daily_Log!$H$5:$H$500, Daily_Log!$N$5:$N$500, A8)</f>
        <v/>
      </c>
      <c r="F8" s="30">
        <f>SUMIFS(Daily_Log!$I$5:$I$500, Daily_Log!$N$5:$N$500, A8)</f>
        <v/>
      </c>
      <c r="G8" s="30">
        <f>SUMIFS(Daily_Log!$J$5:$J$500, Daily_Log!$N$5:$N$500, A8)</f>
        <v/>
      </c>
      <c r="H8" s="30">
        <f>SUMIFS(Daily_Log!$K$5:$K$500, Daily_Log!$N$5:$N$500, A8)</f>
        <v/>
      </c>
      <c r="I8" s="30">
        <f>IF(E8&gt;0, H8/E8, 0)</f>
        <v/>
      </c>
    </row>
    <row r="9">
      <c r="A9" s="34" t="inlineStr">
        <is>
          <t>2026-03</t>
        </is>
      </c>
      <c r="B9" s="37" t="n">
        <v>2026</v>
      </c>
      <c r="C9" s="33" t="inlineStr">
        <is>
          <t>March</t>
        </is>
      </c>
      <c r="D9" s="37">
        <f>COUNTIFS(Daily_Log!$N$5:$N$500, A9)</f>
        <v/>
      </c>
      <c r="E9" s="59">
        <f>SUMIFS(Daily_Log!$H$5:$H$500, Daily_Log!$N$5:$N$500, A9)</f>
        <v/>
      </c>
      <c r="F9" s="26">
        <f>SUMIFS(Daily_Log!$I$5:$I$500, Daily_Log!$N$5:$N$500, A9)</f>
        <v/>
      </c>
      <c r="G9" s="26">
        <f>SUMIFS(Daily_Log!$J$5:$J$500, Daily_Log!$N$5:$N$500, A9)</f>
        <v/>
      </c>
      <c r="H9" s="26">
        <f>SUMIFS(Daily_Log!$K$5:$K$500, Daily_Log!$N$5:$N$500, A9)</f>
        <v/>
      </c>
      <c r="I9" s="26">
        <f>IF(E9&gt;0, H9/E9, 0)</f>
        <v/>
      </c>
    </row>
    <row r="10">
      <c r="A10" s="39" t="inlineStr">
        <is>
          <t>2026-04</t>
        </is>
      </c>
      <c r="B10" s="42" t="n">
        <v>2026</v>
      </c>
      <c r="C10" s="38" t="inlineStr">
        <is>
          <t>April</t>
        </is>
      </c>
      <c r="D10" s="42">
        <f>COUNTIFS(Daily_Log!$N$5:$N$500, A10)</f>
        <v/>
      </c>
      <c r="E10" s="61">
        <f>SUMIFS(Daily_Log!$H$5:$H$500, Daily_Log!$N$5:$N$500, A10)</f>
        <v/>
      </c>
      <c r="F10" s="30">
        <f>SUMIFS(Daily_Log!$I$5:$I$500, Daily_Log!$N$5:$N$500, A10)</f>
        <v/>
      </c>
      <c r="G10" s="30">
        <f>SUMIFS(Daily_Log!$J$5:$J$500, Daily_Log!$N$5:$N$500, A10)</f>
        <v/>
      </c>
      <c r="H10" s="30">
        <f>SUMIFS(Daily_Log!$K$5:$K$500, Daily_Log!$N$5:$N$500, A10)</f>
        <v/>
      </c>
      <c r="I10" s="30">
        <f>IF(E10&gt;0, H10/E10, 0)</f>
        <v/>
      </c>
    </row>
    <row r="11">
      <c r="A11" s="34" t="inlineStr">
        <is>
          <t>2026-05</t>
        </is>
      </c>
      <c r="B11" s="37" t="n">
        <v>2026</v>
      </c>
      <c r="C11" s="33" t="inlineStr">
        <is>
          <t>May</t>
        </is>
      </c>
      <c r="D11" s="37">
        <f>COUNTIFS(Daily_Log!$N$5:$N$500, A11)</f>
        <v/>
      </c>
      <c r="E11" s="59">
        <f>SUMIFS(Daily_Log!$H$5:$H$500, Daily_Log!$N$5:$N$500, A11)</f>
        <v/>
      </c>
      <c r="F11" s="26">
        <f>SUMIFS(Daily_Log!$I$5:$I$500, Daily_Log!$N$5:$N$500, A11)</f>
        <v/>
      </c>
      <c r="G11" s="26">
        <f>SUMIFS(Daily_Log!$J$5:$J$500, Daily_Log!$N$5:$N$500, A11)</f>
        <v/>
      </c>
      <c r="H11" s="26">
        <f>SUMIFS(Daily_Log!$K$5:$K$500, Daily_Log!$N$5:$N$500, A11)</f>
        <v/>
      </c>
      <c r="I11" s="26">
        <f>IF(E11&gt;0, H11/E11, 0)</f>
        <v/>
      </c>
    </row>
    <row r="12">
      <c r="A12" s="39" t="inlineStr">
        <is>
          <t>2026-06</t>
        </is>
      </c>
      <c r="B12" s="42" t="n">
        <v>2026</v>
      </c>
      <c r="C12" s="38" t="inlineStr">
        <is>
          <t>June</t>
        </is>
      </c>
      <c r="D12" s="42">
        <f>COUNTIFS(Daily_Log!$N$5:$N$500, A12)</f>
        <v/>
      </c>
      <c r="E12" s="61">
        <f>SUMIFS(Daily_Log!$H$5:$H$500, Daily_Log!$N$5:$N$500, A12)</f>
        <v/>
      </c>
      <c r="F12" s="30">
        <f>SUMIFS(Daily_Log!$I$5:$I$500, Daily_Log!$N$5:$N$500, A12)</f>
        <v/>
      </c>
      <c r="G12" s="30">
        <f>SUMIFS(Daily_Log!$J$5:$J$500, Daily_Log!$N$5:$N$500, A12)</f>
        <v/>
      </c>
      <c r="H12" s="30">
        <f>SUMIFS(Daily_Log!$K$5:$K$500, Daily_Log!$N$5:$N$500, A12)</f>
        <v/>
      </c>
      <c r="I12" s="30">
        <f>IF(E12&gt;0, H12/E12, 0)</f>
        <v/>
      </c>
    </row>
    <row r="13">
      <c r="A13" s="34" t="inlineStr">
        <is>
          <t>2026-07</t>
        </is>
      </c>
      <c r="B13" s="37" t="n">
        <v>2026</v>
      </c>
      <c r="C13" s="33" t="inlineStr">
        <is>
          <t>July</t>
        </is>
      </c>
      <c r="D13" s="37">
        <f>COUNTIFS(Daily_Log!$N$5:$N$500, A13)</f>
        <v/>
      </c>
      <c r="E13" s="59">
        <f>SUMIFS(Daily_Log!$H$5:$H$500, Daily_Log!$N$5:$N$500, A13)</f>
        <v/>
      </c>
      <c r="F13" s="26">
        <f>SUMIFS(Daily_Log!$I$5:$I$500, Daily_Log!$N$5:$N$500, A13)</f>
        <v/>
      </c>
      <c r="G13" s="26">
        <f>SUMIFS(Daily_Log!$J$5:$J$500, Daily_Log!$N$5:$N$500, A13)</f>
        <v/>
      </c>
      <c r="H13" s="26">
        <f>SUMIFS(Daily_Log!$K$5:$K$500, Daily_Log!$N$5:$N$500, A13)</f>
        <v/>
      </c>
      <c r="I13" s="26">
        <f>IF(E13&gt;0, H13/E13, 0)</f>
        <v/>
      </c>
    </row>
    <row r="14">
      <c r="A14" s="39" t="inlineStr">
        <is>
          <t>2026-08</t>
        </is>
      </c>
      <c r="B14" s="42" t="n">
        <v>2026</v>
      </c>
      <c r="C14" s="38" t="inlineStr">
        <is>
          <t>August</t>
        </is>
      </c>
      <c r="D14" s="42">
        <f>COUNTIFS(Daily_Log!$N$5:$N$500, A14)</f>
        <v/>
      </c>
      <c r="E14" s="61">
        <f>SUMIFS(Daily_Log!$H$5:$H$500, Daily_Log!$N$5:$N$500, A14)</f>
        <v/>
      </c>
      <c r="F14" s="30">
        <f>SUMIFS(Daily_Log!$I$5:$I$500, Daily_Log!$N$5:$N$500, A14)</f>
        <v/>
      </c>
      <c r="G14" s="30">
        <f>SUMIFS(Daily_Log!$J$5:$J$500, Daily_Log!$N$5:$N$500, A14)</f>
        <v/>
      </c>
      <c r="H14" s="30">
        <f>SUMIFS(Daily_Log!$K$5:$K$500, Daily_Log!$N$5:$N$500, A14)</f>
        <v/>
      </c>
      <c r="I14" s="30">
        <f>IF(E14&gt;0, H14/E14, 0)</f>
        <v/>
      </c>
    </row>
    <row r="15">
      <c r="A15" s="34" t="inlineStr">
        <is>
          <t>2026-09</t>
        </is>
      </c>
      <c r="B15" s="37" t="n">
        <v>2026</v>
      </c>
      <c r="C15" s="33" t="inlineStr">
        <is>
          <t>September</t>
        </is>
      </c>
      <c r="D15" s="37">
        <f>COUNTIFS(Daily_Log!$N$5:$N$500, A15)</f>
        <v/>
      </c>
      <c r="E15" s="59">
        <f>SUMIFS(Daily_Log!$H$5:$H$500, Daily_Log!$N$5:$N$500, A15)</f>
        <v/>
      </c>
      <c r="F15" s="26">
        <f>SUMIFS(Daily_Log!$I$5:$I$500, Daily_Log!$N$5:$N$500, A15)</f>
        <v/>
      </c>
      <c r="G15" s="26">
        <f>SUMIFS(Daily_Log!$J$5:$J$500, Daily_Log!$N$5:$N$500, A15)</f>
        <v/>
      </c>
      <c r="H15" s="26">
        <f>SUMIFS(Daily_Log!$K$5:$K$500, Daily_Log!$N$5:$N$500, A15)</f>
        <v/>
      </c>
      <c r="I15" s="26">
        <f>IF(E15&gt;0, H15/E15, 0)</f>
        <v/>
      </c>
    </row>
    <row r="16">
      <c r="A16" s="39" t="inlineStr">
        <is>
          <t>2026-10</t>
        </is>
      </c>
      <c r="B16" s="42" t="n">
        <v>2026</v>
      </c>
      <c r="C16" s="38" t="inlineStr">
        <is>
          <t>October</t>
        </is>
      </c>
      <c r="D16" s="42">
        <f>COUNTIFS(Daily_Log!$N$5:$N$500, A16)</f>
        <v/>
      </c>
      <c r="E16" s="61">
        <f>SUMIFS(Daily_Log!$H$5:$H$500, Daily_Log!$N$5:$N$500, A16)</f>
        <v/>
      </c>
      <c r="F16" s="30">
        <f>SUMIFS(Daily_Log!$I$5:$I$500, Daily_Log!$N$5:$N$500, A16)</f>
        <v/>
      </c>
      <c r="G16" s="30">
        <f>SUMIFS(Daily_Log!$J$5:$J$500, Daily_Log!$N$5:$N$500, A16)</f>
        <v/>
      </c>
      <c r="H16" s="30">
        <f>SUMIFS(Daily_Log!$K$5:$K$500, Daily_Log!$N$5:$N$500, A16)</f>
        <v/>
      </c>
      <c r="I16" s="30">
        <f>IF(E16&gt;0, H16/E16, 0)</f>
        <v/>
      </c>
    </row>
    <row r="17">
      <c r="A17" s="34" t="inlineStr">
        <is>
          <t>2026-11</t>
        </is>
      </c>
      <c r="B17" s="37" t="n">
        <v>2026</v>
      </c>
      <c r="C17" s="33" t="inlineStr">
        <is>
          <t>November</t>
        </is>
      </c>
      <c r="D17" s="37">
        <f>COUNTIFS(Daily_Log!$N$5:$N$500, A17)</f>
        <v/>
      </c>
      <c r="E17" s="59">
        <f>SUMIFS(Daily_Log!$H$5:$H$500, Daily_Log!$N$5:$N$500, A17)</f>
        <v/>
      </c>
      <c r="F17" s="26">
        <f>SUMIFS(Daily_Log!$I$5:$I$500, Daily_Log!$N$5:$N$500, A17)</f>
        <v/>
      </c>
      <c r="G17" s="26">
        <f>SUMIFS(Daily_Log!$J$5:$J$500, Daily_Log!$N$5:$N$500, A17)</f>
        <v/>
      </c>
      <c r="H17" s="26">
        <f>SUMIFS(Daily_Log!$K$5:$K$500, Daily_Log!$N$5:$N$500, A17)</f>
        <v/>
      </c>
      <c r="I17" s="26">
        <f>IF(E17&gt;0, H17/E17, 0)</f>
        <v/>
      </c>
    </row>
    <row r="18">
      <c r="A18" s="39" t="inlineStr">
        <is>
          <t>2026-12</t>
        </is>
      </c>
      <c r="B18" s="42" t="n">
        <v>2026</v>
      </c>
      <c r="C18" s="38" t="inlineStr">
        <is>
          <t>December</t>
        </is>
      </c>
      <c r="D18" s="42">
        <f>COUNTIFS(Daily_Log!$N$5:$N$500, A18)</f>
        <v/>
      </c>
      <c r="E18" s="61">
        <f>SUMIFS(Daily_Log!$H$5:$H$500, Daily_Log!$N$5:$N$500, A18)</f>
        <v/>
      </c>
      <c r="F18" s="30">
        <f>SUMIFS(Daily_Log!$I$5:$I$500, Daily_Log!$N$5:$N$500, A18)</f>
        <v/>
      </c>
      <c r="G18" s="30">
        <f>SUMIFS(Daily_Log!$J$5:$J$500, Daily_Log!$N$5:$N$500, A18)</f>
        <v/>
      </c>
      <c r="H18" s="30">
        <f>SUMIFS(Daily_Log!$K$5:$K$500, Daily_Log!$N$5:$N$500, A18)</f>
        <v/>
      </c>
      <c r="I18" s="30">
        <f>IF(E18&gt;0, H18/E18, 0)</f>
        <v/>
      </c>
    </row>
    <row r="19">
      <c r="A19" s="18" t="inlineStr">
        <is>
          <t>Total</t>
        </is>
      </c>
      <c r="B19" s="18" t="n"/>
      <c r="C19" s="18" t="n"/>
      <c r="D19" s="49">
        <f>SUM(D5:D18)</f>
        <v/>
      </c>
      <c r="E19" s="57">
        <f>SUM(E5:E18)</f>
        <v/>
      </c>
      <c r="F19" s="20">
        <f>SUM(F5:F18)</f>
        <v/>
      </c>
      <c r="G19" s="20">
        <f>SUM(G5:G18)</f>
        <v/>
      </c>
      <c r="H19" s="20">
        <f>SUM(H5:H18)</f>
        <v/>
      </c>
      <c r="I19" s="20">
        <f>IF(E19&gt;0, H19/E19, 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0" customWidth="1" min="3" max="3"/>
    <col width="23" customWidth="1" min="4" max="4"/>
    <col width="19" customWidth="1" min="5" max="5"/>
    <col width="22" customWidth="1" min="6" max="6"/>
    <col width="22" customWidth="1" min="7" max="7"/>
    <col width="23" customWidth="1" min="8" max="8"/>
  </cols>
  <sheetData>
    <row r="1">
      <c r="A1" s="31" t="inlineStr">
        <is>
          <t>Yearly Income &amp; Hours Overview</t>
        </is>
      </c>
    </row>
    <row r="2">
      <c r="A2" s="2" t="inlineStr">
        <is>
          <t>High-level annual performance totals, days worked, and average daily/hourly rates.</t>
        </is>
      </c>
    </row>
    <row r="4">
      <c r="A4" s="9" t="inlineStr">
        <is>
          <t>Year</t>
        </is>
      </c>
      <c r="B4" s="9" t="inlineStr">
        <is>
          <t>Total Days Worked</t>
        </is>
      </c>
      <c r="C4" s="9" t="inlineStr">
        <is>
          <t>Total Paid Hours</t>
        </is>
      </c>
      <c r="D4" s="9" t="inlineStr">
        <is>
          <t>Gross Earnings (kr)</t>
        </is>
      </c>
      <c r="E4" s="9" t="inlineStr">
        <is>
          <t>Tax Amount (kr)</t>
        </is>
      </c>
      <c r="F4" s="9" t="inlineStr">
        <is>
          <t>Net Take-Home (kr)</t>
        </is>
      </c>
      <c r="G4" s="9" t="inlineStr">
        <is>
          <t>Avg Daily Net (kr)</t>
        </is>
      </c>
      <c r="H4" s="9" t="inlineStr">
        <is>
          <t>Avg Hourly Net (kr)</t>
        </is>
      </c>
    </row>
    <row r="5">
      <c r="A5" s="37" t="n">
        <v>2025</v>
      </c>
      <c r="B5" s="37">
        <f>COUNTIFS(Daily_Log!$M$5:$M$500, A5)</f>
        <v/>
      </c>
      <c r="C5" s="59">
        <f>SUMIFS(Daily_Log!$H$5:$H$500, Daily_Log!$M$5:$M$500, A5)</f>
        <v/>
      </c>
      <c r="D5" s="26">
        <f>SUMIFS(Daily_Log!$I$5:$I$500, Daily_Log!$M$5:$M$500, A5)</f>
        <v/>
      </c>
      <c r="E5" s="26">
        <f>SUMIFS(Daily_Log!$J$5:$J$500, Daily_Log!$M$5:$M$500, A5)</f>
        <v/>
      </c>
      <c r="F5" s="26">
        <f>SUMIFS(Daily_Log!$K$5:$K$500, Daily_Log!$M$5:$M$500, A5)</f>
        <v/>
      </c>
      <c r="G5" s="26">
        <f>IF(B5&gt;0, F5/B5, 0)</f>
        <v/>
      </c>
      <c r="H5" s="26">
        <f>IF(C5&gt;0, F5/C5, 0)</f>
        <v/>
      </c>
    </row>
    <row r="6">
      <c r="A6" s="42" t="n">
        <v>2026</v>
      </c>
      <c r="B6" s="42">
        <f>COUNTIFS(Daily_Log!$M$5:$M$500, A6)</f>
        <v/>
      </c>
      <c r="C6" s="61">
        <f>SUMIFS(Daily_Log!$H$5:$H$500, Daily_Log!$M$5:$M$500, A6)</f>
        <v/>
      </c>
      <c r="D6" s="30">
        <f>SUMIFS(Daily_Log!$I$5:$I$500, Daily_Log!$M$5:$M$500, A6)</f>
        <v/>
      </c>
      <c r="E6" s="30">
        <f>SUMIFS(Daily_Log!$J$5:$J$500, Daily_Log!$M$5:$M$500, A6)</f>
        <v/>
      </c>
      <c r="F6" s="30">
        <f>SUMIFS(Daily_Log!$K$5:$K$500, Daily_Log!$M$5:$M$500, A6)</f>
        <v/>
      </c>
      <c r="G6" s="30">
        <f>IF(B6&gt;0, F6/B6, 0)</f>
        <v/>
      </c>
      <c r="H6" s="30">
        <f>IF(C6&gt;0, F6/C6, 0)</f>
        <v/>
      </c>
    </row>
    <row r="7">
      <c r="A7" s="37" t="n">
        <v>2027</v>
      </c>
      <c r="B7" s="37">
        <f>COUNTIFS(Daily_Log!$M$5:$M$500, A7)</f>
        <v/>
      </c>
      <c r="C7" s="59">
        <f>SUMIFS(Daily_Log!$H$5:$H$500, Daily_Log!$M$5:$M$500, A7)</f>
        <v/>
      </c>
      <c r="D7" s="26">
        <f>SUMIFS(Daily_Log!$I$5:$I$500, Daily_Log!$M$5:$M$500, A7)</f>
        <v/>
      </c>
      <c r="E7" s="26">
        <f>SUMIFS(Daily_Log!$J$5:$J$500, Daily_Log!$M$5:$M$500, A7)</f>
        <v/>
      </c>
      <c r="F7" s="26">
        <f>SUMIFS(Daily_Log!$K$5:$K$500, Daily_Log!$M$5:$M$500, A7)</f>
        <v/>
      </c>
      <c r="G7" s="26">
        <f>IF(B7&gt;0, F7/B7, 0)</f>
        <v/>
      </c>
      <c r="H7" s="26">
        <f>IF(C7&gt;0, F7/C7, 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  <col width="40" customWidth="1" min="4" max="4"/>
  </cols>
  <sheetData>
    <row r="1">
      <c r="A1" s="31" t="inlineStr">
        <is>
          <t>Job / Employer Settings &amp; Tax Configuration</t>
        </is>
      </c>
    </row>
    <row r="2">
      <c r="A2" s="2" t="inlineStr">
        <is>
          <t>Edit hourly rates and tax percentages here. The Daily Log will automatically reference these values.</t>
        </is>
      </c>
    </row>
    <row r="4">
      <c r="A4" s="50" t="inlineStr">
        <is>
          <t>Job / Employer</t>
        </is>
      </c>
      <c r="B4" s="9" t="inlineStr">
        <is>
          <t>Hourly Rate (kr)</t>
        </is>
      </c>
      <c r="C4" s="9" t="inlineStr">
        <is>
          <t>Tax Rate (%)</t>
        </is>
      </c>
      <c r="D4" s="9" t="inlineStr">
        <is>
          <t>Tax Treatment Notes</t>
        </is>
      </c>
    </row>
    <row r="5">
      <c r="A5" s="14" t="inlineStr">
        <is>
          <t>Agra Tandoori</t>
        </is>
      </c>
      <c r="B5" s="15" t="n">
        <v>95</v>
      </c>
      <c r="C5" s="16" t="n">
        <v>0.32</v>
      </c>
      <c r="D5" s="51" t="inlineStr">
        <is>
          <t>95 kr/hr net/gross with employer tax</t>
        </is>
      </c>
    </row>
    <row r="6">
      <c r="A6" s="14" t="inlineStr">
        <is>
          <t>Grand Hotel</t>
        </is>
      </c>
      <c r="B6" s="15" t="n">
        <v>153.64</v>
      </c>
      <c r="C6" s="16" t="n">
        <v>0.32</v>
      </c>
      <c r="D6" s="51" t="inlineStr">
        <is>
          <t>153.64 kr/hr total salary</t>
        </is>
      </c>
    </row>
    <row r="7">
      <c r="A7" s="14" t="inlineStr">
        <is>
          <t>Backup Job</t>
        </is>
      </c>
      <c r="B7" s="15" t="n">
        <v>120</v>
      </c>
      <c r="C7" s="16" t="n">
        <v>0.32</v>
      </c>
      <c r="D7" s="51" t="inlineStr">
        <is>
          <t>Secondary / Backup shift position</t>
        </is>
      </c>
    </row>
    <row r="8">
      <c r="A8" s="14" t="inlineStr">
        <is>
          <t>Other / Special</t>
        </is>
      </c>
      <c r="B8" s="15" t="n">
        <v>100</v>
      </c>
      <c r="C8" s="16" t="n">
        <v>0.3</v>
      </c>
      <c r="D8" s="51" t="inlineStr">
        <is>
          <t>Custom or freelance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2026-09-25T15:36:06Z</dcterms:created>
  <dcterms:modified xsi:type="dcterms:W3CDTF">2026-09-25T15:38:04Z</dcterms:modified>
</cp:coreProperties>
</file>